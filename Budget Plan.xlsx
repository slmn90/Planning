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toolupcom-my.sharepoint.com/personal/solomon_manamel_pcstools_com/Documents/Desktop/Personal/"/>
    </mc:Choice>
  </mc:AlternateContent>
  <xr:revisionPtr revIDLastSave="148" documentId="13_ncr:1_{4B516CEF-07BC-46FE-AFFB-163B992373ED}" xr6:coauthVersionLast="47" xr6:coauthVersionMax="47" xr10:uidLastSave="{8D4B00DF-C374-4FBE-B51C-57A8DFCF4BDA}"/>
  <bookViews>
    <workbookView xWindow="28680" yWindow="1635" windowWidth="29040" windowHeight="15720" activeTab="1" xr2:uid="{00000000-000D-0000-FFFF-FFFF00000000}"/>
  </bookViews>
  <sheets>
    <sheet name="Add-ons" sheetId="7" r:id="rId1"/>
    <sheet name="Budget Planning" sheetId="1" r:id="rId2"/>
    <sheet name="Budget Tracking" sheetId="3" r:id="rId3"/>
    <sheet name="Budget Dashboard" sheetId="5" r:id="rId4"/>
    <sheet name="Dropdown Data" sheetId="6" state="hidden" r:id="rId5"/>
    <sheet name="Calculation" sheetId="4" state="hidden" r:id="rId6"/>
    <sheet name="Settings" sheetId="2" state="hidden" r:id="rId7"/>
  </sheets>
  <definedNames>
    <definedName name="budget" localSheetId="3">'Budget Dashboard'!$L1</definedName>
    <definedName name="budget_range" localSheetId="3">'Budget Dashboard'!$Q1</definedName>
    <definedName name="budget_rank" localSheetId="3">'Budget Dashboard'!$R1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Planning'!$C$43)</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Planning'!$C$21)</definedName>
    <definedName name="is_cat" localSheetId="3">'Budget Dashboard'!$F1</definedName>
    <definedName name="is_empty" localSheetId="3">'Budget Dashboard'!$H1</definedName>
    <definedName name="is_empty" localSheetId="1">'Budget Planning'!$H1</definedName>
    <definedName name="is_header" localSheetId="3">'Budget Dashboard'!$E1</definedName>
    <definedName name="is_header" localSheetId="1">'Budget Planning'!$E1</definedName>
    <definedName name="is_total" localSheetId="3">'Budget Dashboard'!$G1</definedName>
    <definedName name="is_total" localSheetId="1">'Budget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'Budget Dashboard'!$C1</definedName>
    <definedName name="savings_header_row">ROW(Savings[[#Headers],[Savings]])</definedName>
    <definedName name="savings_max_row">MAX(ROW(Savings[]))</definedName>
    <definedName name="savings_min_row">MIN(ROW(Savings[]))</definedName>
    <definedName name="savings_total_row">ROW('Budget Planning'!$C$58)</definedName>
    <definedName name="selected_period">Calculation!$E$21:$E$21</definedName>
    <definedName name="selected_period_display">Calculation!$E$22:$E$22</definedName>
    <definedName name="selected_year">Calculation!$E$20:$E$20</definedName>
    <definedName name="shift_late_income_field">Settings!$E$15:$E$15</definedName>
    <definedName name="shift_late_income_starting_day">Settings!$E$15:$E$15</definedName>
    <definedName name="shift_late_income_status">Settings!$E$13:$E$13</definedName>
    <definedName name="sort_max_row" localSheetId="3">'Budget Dashboard'!$N1</definedName>
    <definedName name="sort_min_row" localSheetId="3">'Budget Dashboard'!$M1</definedName>
    <definedName name="starting_year">Settings!$E$6:$E$6</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7" i="1" l="1"/>
  <c r="AE30" i="1"/>
  <c r="AS48" i="1"/>
  <c r="AG58" i="1" a="1"/>
  <c r="AG58" i="1" s="1"/>
  <c r="G77" i="3" a="1"/>
  <c r="G77" i="3" s="1"/>
  <c r="G97" i="3" a="1"/>
  <c r="G97" i="3" s="1"/>
  <c r="G98" i="3" a="1"/>
  <c r="G98" i="3" s="1"/>
  <c r="G99" i="3" a="1"/>
  <c r="G99" i="3" s="1"/>
  <c r="G100" i="3" a="1"/>
  <c r="G100" i="3" s="1"/>
  <c r="G101" i="3" a="1"/>
  <c r="G101" i="3" s="1"/>
  <c r="G102" i="3" a="1"/>
  <c r="G102" i="3" s="1"/>
  <c r="G103" i="3" a="1"/>
  <c r="G103" i="3" s="1"/>
  <c r="G104" i="3" a="1"/>
  <c r="G104" i="3" s="1"/>
  <c r="G105" i="3" a="1"/>
  <c r="G105" i="3" s="1"/>
  <c r="G106" i="3" a="1"/>
  <c r="G106" i="3" s="1"/>
  <c r="G107" i="3" a="1"/>
  <c r="G107" i="3" s="1"/>
  <c r="G108" i="3" a="1"/>
  <c r="G108" i="3" s="1"/>
  <c r="G109" i="3" a="1"/>
  <c r="G109" i="3" s="1"/>
  <c r="G110" i="3" a="1"/>
  <c r="G110" i="3" s="1"/>
  <c r="G111" i="3" a="1"/>
  <c r="G111" i="3" s="1"/>
  <c r="G112" i="3" a="1"/>
  <c r="G112" i="3" s="1"/>
  <c r="G113" i="3" a="1"/>
  <c r="G113" i="3" s="1"/>
  <c r="G114" i="3" a="1"/>
  <c r="G114" i="3" s="1"/>
  <c r="G115" i="3" a="1"/>
  <c r="G115" i="3" s="1"/>
  <c r="G116" i="3" a="1"/>
  <c r="G116" i="3" s="1"/>
  <c r="G117" i="3" a="1"/>
  <c r="G117" i="3" s="1"/>
  <c r="G118" i="3" a="1"/>
  <c r="G118" i="3" s="1"/>
  <c r="G119" i="3" a="1"/>
  <c r="G119" i="3" s="1"/>
  <c r="G120" i="3" a="1"/>
  <c r="G120" i="3" s="1"/>
  <c r="G121" i="3" a="1"/>
  <c r="G121" i="3" s="1"/>
  <c r="G122" i="3" a="1"/>
  <c r="G122" i="3" s="1"/>
  <c r="G123" i="3" a="1"/>
  <c r="G123" i="3" s="1"/>
  <c r="G124" i="3" a="1"/>
  <c r="G124" i="3" s="1"/>
  <c r="G125" i="3" a="1"/>
  <c r="G125" i="3" s="1"/>
  <c r="G126" i="3" a="1"/>
  <c r="G126" i="3" s="1"/>
  <c r="G127" i="3" a="1"/>
  <c r="G127" i="3" s="1"/>
  <c r="G128" i="3" a="1"/>
  <c r="G128" i="3" s="1"/>
  <c r="G129" i="3" a="1"/>
  <c r="G129" i="3" s="1"/>
  <c r="G130" i="3" a="1"/>
  <c r="G130" i="3" s="1"/>
  <c r="G131" i="3" a="1"/>
  <c r="G131" i="3" s="1"/>
  <c r="G132" i="3" a="1"/>
  <c r="G132" i="3" s="1"/>
  <c r="G133" i="3" a="1"/>
  <c r="G133" i="3" s="1"/>
  <c r="G134" i="3" a="1"/>
  <c r="G134" i="3" s="1"/>
  <c r="G135" i="3" a="1"/>
  <c r="G135" i="3" s="1"/>
  <c r="G136" i="3" a="1"/>
  <c r="G136" i="3" s="1"/>
  <c r="G137" i="3" a="1"/>
  <c r="G137" i="3" s="1"/>
  <c r="G138" i="3" a="1"/>
  <c r="G138" i="3" s="1"/>
  <c r="G139" i="3" a="1"/>
  <c r="G139" i="3" s="1"/>
  <c r="G140" i="3" a="1"/>
  <c r="G140" i="3" s="1"/>
  <c r="G141" i="3" a="1"/>
  <c r="G141" i="3" s="1"/>
  <c r="G142" i="3" a="1"/>
  <c r="G142" i="3" s="1"/>
  <c r="G143" i="3" a="1"/>
  <c r="G143" i="3" s="1"/>
  <c r="G144" i="3" a="1"/>
  <c r="G144" i="3" s="1"/>
  <c r="G145" i="3" a="1"/>
  <c r="G145" i="3" s="1"/>
  <c r="G146" i="3" a="1"/>
  <c r="G146" i="3" s="1"/>
  <c r="G147" i="3" a="1"/>
  <c r="G147" i="3" s="1"/>
  <c r="G148" i="3" a="1"/>
  <c r="G148" i="3" s="1"/>
  <c r="G149" i="3" a="1"/>
  <c r="G149" i="3" s="1"/>
  <c r="G150" i="3" a="1"/>
  <c r="G150" i="3" s="1"/>
  <c r="G151" i="3" a="1"/>
  <c r="G151" i="3" s="1"/>
  <c r="G152" i="3" a="1"/>
  <c r="G152" i="3" s="1"/>
  <c r="G153" i="3" a="1"/>
  <c r="G153" i="3" s="1"/>
  <c r="G154" i="3" a="1"/>
  <c r="G154" i="3" s="1"/>
  <c r="G155" i="3" a="1"/>
  <c r="G155" i="3" s="1"/>
  <c r="G156" i="3" a="1"/>
  <c r="G156" i="3" s="1"/>
  <c r="G157" i="3" a="1"/>
  <c r="G157" i="3" s="1"/>
  <c r="G158" i="3" a="1"/>
  <c r="G158" i="3" s="1"/>
  <c r="G159" i="3" a="1"/>
  <c r="G159" i="3" s="1"/>
  <c r="G160" i="3" a="1"/>
  <c r="G160" i="3" s="1"/>
  <c r="G161" i="3" a="1"/>
  <c r="G161" i="3" s="1"/>
  <c r="G162" i="3" a="1"/>
  <c r="G162" i="3" s="1"/>
  <c r="G163" i="3" a="1"/>
  <c r="G163" i="3" s="1"/>
  <c r="G164" i="3" a="1"/>
  <c r="G164" i="3" s="1"/>
  <c r="G165" i="3" a="1"/>
  <c r="G165" i="3" s="1"/>
  <c r="G166" i="3" a="1"/>
  <c r="G166" i="3" s="1"/>
  <c r="G167" i="3" a="1"/>
  <c r="G167" i="3" s="1"/>
  <c r="G168" i="3" a="1"/>
  <c r="G168" i="3" s="1"/>
  <c r="G169" i="3" a="1"/>
  <c r="G169" i="3" s="1"/>
  <c r="G170" i="3" a="1"/>
  <c r="G170" i="3" s="1"/>
  <c r="G171" i="3" a="1"/>
  <c r="G171" i="3" s="1"/>
  <c r="G172" i="3" a="1"/>
  <c r="G172" i="3" s="1"/>
  <c r="G173" i="3" a="1"/>
  <c r="G173" i="3" s="1"/>
  <c r="G174" i="3" a="1"/>
  <c r="G174" i="3" s="1"/>
  <c r="G175" i="3" a="1"/>
  <c r="G175" i="3" s="1"/>
  <c r="G176" i="3" a="1"/>
  <c r="G176" i="3" s="1"/>
  <c r="G177" i="3" a="1"/>
  <c r="G177" i="3" s="1"/>
  <c r="G178" i="3" a="1"/>
  <c r="G178" i="3" s="1"/>
  <c r="G179" i="3" a="1"/>
  <c r="G179" i="3" s="1"/>
  <c r="G180" i="3" a="1"/>
  <c r="G180" i="3" s="1"/>
  <c r="G181" i="3" a="1"/>
  <c r="G181" i="3" s="1"/>
  <c r="G182" i="3" a="1"/>
  <c r="G182" i="3" s="1"/>
  <c r="G183" i="3" a="1"/>
  <c r="G183" i="3" s="1"/>
  <c r="G184" i="3" a="1"/>
  <c r="G184" i="3" s="1"/>
  <c r="G185" i="3" a="1"/>
  <c r="G185" i="3" s="1"/>
  <c r="G186" i="3" a="1"/>
  <c r="G186" i="3" s="1"/>
  <c r="G187" i="3" a="1"/>
  <c r="G187" i="3" s="1"/>
  <c r="G188" i="3" a="1"/>
  <c r="G188" i="3" s="1"/>
  <c r="G189" i="3" a="1"/>
  <c r="G189" i="3" s="1"/>
  <c r="G190" i="3" a="1"/>
  <c r="G190" i="3" s="1"/>
  <c r="G191" i="3" a="1"/>
  <c r="G191" i="3" s="1"/>
  <c r="G192" i="3" a="1"/>
  <c r="G192" i="3" s="1"/>
  <c r="G193" i="3" a="1"/>
  <c r="G193" i="3" s="1"/>
  <c r="G194" i="3" a="1"/>
  <c r="G194" i="3" s="1"/>
  <c r="G195" i="3" a="1"/>
  <c r="G195" i="3" s="1"/>
  <c r="G196" i="3" a="1"/>
  <c r="G196" i="3" s="1"/>
  <c r="G197" i="3" a="1"/>
  <c r="G197" i="3" s="1"/>
  <c r="G198" i="3" a="1"/>
  <c r="G198" i="3" s="1"/>
  <c r="G199" i="3" a="1"/>
  <c r="G199" i="3" s="1"/>
  <c r="G200" i="3" a="1"/>
  <c r="G200" i="3" s="1"/>
  <c r="G201" i="3" a="1"/>
  <c r="G201" i="3" s="1"/>
  <c r="G202" i="3" a="1"/>
  <c r="G202" i="3" s="1"/>
  <c r="G203" i="3" a="1"/>
  <c r="G203" i="3" s="1"/>
  <c r="G204" i="3" a="1"/>
  <c r="G204" i="3" s="1"/>
  <c r="G205" i="3" a="1"/>
  <c r="G205" i="3" s="1"/>
  <c r="G206" i="3" a="1"/>
  <c r="G206" i="3" s="1"/>
  <c r="G207" i="3" a="1"/>
  <c r="G207" i="3" s="1"/>
  <c r="G208" i="3" a="1"/>
  <c r="G208" i="3" s="1"/>
  <c r="G209" i="3" a="1"/>
  <c r="G209" i="3" s="1"/>
  <c r="G210" i="3" a="1"/>
  <c r="G210" i="3" s="1"/>
  <c r="G211" i="3" a="1"/>
  <c r="G211" i="3" s="1"/>
  <c r="G212" i="3" a="1"/>
  <c r="G212" i="3" s="1"/>
  <c r="G213" i="3" a="1"/>
  <c r="G213" i="3" s="1"/>
  <c r="G214" i="3" a="1"/>
  <c r="G214" i="3" s="1"/>
  <c r="G215" i="3" a="1"/>
  <c r="G215" i="3" s="1"/>
  <c r="G216" i="3" a="1"/>
  <c r="G216" i="3" s="1"/>
  <c r="G217" i="3" a="1"/>
  <c r="G217" i="3" s="1"/>
  <c r="G218" i="3" a="1"/>
  <c r="G218" i="3" s="1"/>
  <c r="G219" i="3" a="1"/>
  <c r="G219" i="3" s="1"/>
  <c r="G220" i="3" a="1"/>
  <c r="G220" i="3" s="1"/>
  <c r="G221" i="3" a="1"/>
  <c r="G221" i="3" s="1"/>
  <c r="G222" i="3" a="1"/>
  <c r="G222" i="3" s="1"/>
  <c r="H77" i="3" a="1"/>
  <c r="H77" i="3" s="1"/>
  <c r="H97" i="3" a="1"/>
  <c r="H97" i="3" s="1"/>
  <c r="H98" i="3" a="1"/>
  <c r="H98" i="3" s="1"/>
  <c r="H99" i="3" a="1"/>
  <c r="H99" i="3" s="1"/>
  <c r="H100" i="3" a="1"/>
  <c r="H100" i="3" s="1"/>
  <c r="H101" i="3" a="1"/>
  <c r="H101" i="3" s="1"/>
  <c r="H102" i="3" a="1"/>
  <c r="H102" i="3" s="1"/>
  <c r="H103" i="3" a="1"/>
  <c r="H103" i="3" s="1"/>
  <c r="H104" i="3" a="1"/>
  <c r="H104" i="3" s="1"/>
  <c r="H105" i="3" a="1"/>
  <c r="H105" i="3" s="1"/>
  <c r="H106" i="3" a="1"/>
  <c r="H106" i="3" s="1"/>
  <c r="H107" i="3" a="1"/>
  <c r="H107" i="3" s="1"/>
  <c r="H108" i="3" a="1"/>
  <c r="H108" i="3" s="1"/>
  <c r="H109" i="3" a="1"/>
  <c r="H109" i="3" s="1"/>
  <c r="H110" i="3" a="1"/>
  <c r="H110" i="3" s="1"/>
  <c r="H111" i="3" a="1"/>
  <c r="H111" i="3" s="1"/>
  <c r="H112" i="3" a="1"/>
  <c r="H112" i="3" s="1"/>
  <c r="H113" i="3" a="1"/>
  <c r="H113" i="3" s="1"/>
  <c r="H114" i="3" a="1"/>
  <c r="H114" i="3" s="1"/>
  <c r="H115" i="3" a="1"/>
  <c r="H115" i="3" s="1"/>
  <c r="H116" i="3" a="1"/>
  <c r="H116" i="3" s="1"/>
  <c r="H117" i="3" a="1"/>
  <c r="H117" i="3" s="1"/>
  <c r="H118" i="3" a="1"/>
  <c r="H118" i="3" s="1"/>
  <c r="H119" i="3" a="1"/>
  <c r="H119" i="3" s="1"/>
  <c r="H120" i="3" a="1"/>
  <c r="H120" i="3" s="1"/>
  <c r="H121" i="3" a="1"/>
  <c r="H121" i="3" s="1"/>
  <c r="H122" i="3" a="1"/>
  <c r="H122" i="3" s="1"/>
  <c r="H123" i="3" a="1"/>
  <c r="H123" i="3" s="1"/>
  <c r="H124" i="3" a="1"/>
  <c r="H124" i="3" s="1"/>
  <c r="H125" i="3" a="1"/>
  <c r="H125" i="3" s="1"/>
  <c r="H126" i="3" a="1"/>
  <c r="H126" i="3" s="1"/>
  <c r="H127" i="3" a="1"/>
  <c r="H127" i="3" s="1"/>
  <c r="H128" i="3" a="1"/>
  <c r="H128" i="3" s="1"/>
  <c r="H129" i="3" a="1"/>
  <c r="H129" i="3" s="1"/>
  <c r="H130" i="3" a="1"/>
  <c r="H130" i="3" s="1"/>
  <c r="H131" i="3" a="1"/>
  <c r="H131" i="3" s="1"/>
  <c r="H132" i="3" a="1"/>
  <c r="H132" i="3" s="1"/>
  <c r="H133" i="3" a="1"/>
  <c r="H133" i="3" s="1"/>
  <c r="H134" i="3" a="1"/>
  <c r="H134" i="3" s="1"/>
  <c r="H135" i="3" a="1"/>
  <c r="H135" i="3" s="1"/>
  <c r="H136" i="3" a="1"/>
  <c r="H136" i="3" s="1"/>
  <c r="H137" i="3" a="1"/>
  <c r="H137" i="3" s="1"/>
  <c r="H138" i="3" a="1"/>
  <c r="H138" i="3" s="1"/>
  <c r="H139" i="3" a="1"/>
  <c r="H139" i="3" s="1"/>
  <c r="H140" i="3" a="1"/>
  <c r="H140" i="3" s="1"/>
  <c r="H141" i="3" a="1"/>
  <c r="H141" i="3" s="1"/>
  <c r="H142" i="3" a="1"/>
  <c r="H142" i="3" s="1"/>
  <c r="H143" i="3" a="1"/>
  <c r="H143" i="3" s="1"/>
  <c r="H144" i="3" a="1"/>
  <c r="H144" i="3" s="1"/>
  <c r="H145" i="3" a="1"/>
  <c r="H145" i="3" s="1"/>
  <c r="H146" i="3" a="1"/>
  <c r="H146" i="3" s="1"/>
  <c r="H147" i="3" a="1"/>
  <c r="H147" i="3" s="1"/>
  <c r="H148" i="3" a="1"/>
  <c r="H148" i="3" s="1"/>
  <c r="H149" i="3" a="1"/>
  <c r="H149" i="3" s="1"/>
  <c r="H150" i="3" a="1"/>
  <c r="H150" i="3" s="1"/>
  <c r="H151" i="3" a="1"/>
  <c r="H151" i="3" s="1"/>
  <c r="H152" i="3" a="1"/>
  <c r="H152" i="3" s="1"/>
  <c r="H153" i="3" a="1"/>
  <c r="H153" i="3" s="1"/>
  <c r="H154" i="3" a="1"/>
  <c r="H154" i="3" s="1"/>
  <c r="H155" i="3" a="1"/>
  <c r="H155" i="3" s="1"/>
  <c r="H156" i="3" a="1"/>
  <c r="H156" i="3" s="1"/>
  <c r="H157" i="3" a="1"/>
  <c r="H157" i="3" s="1"/>
  <c r="H158" i="3" a="1"/>
  <c r="H158" i="3" s="1"/>
  <c r="H159" i="3" a="1"/>
  <c r="H159" i="3" s="1"/>
  <c r="H160" i="3" a="1"/>
  <c r="H160" i="3" s="1"/>
  <c r="H161" i="3" a="1"/>
  <c r="H161" i="3" s="1"/>
  <c r="H162" i="3" a="1"/>
  <c r="H162" i="3" s="1"/>
  <c r="H163" i="3" a="1"/>
  <c r="H163" i="3" s="1"/>
  <c r="H164" i="3" a="1"/>
  <c r="H164" i="3" s="1"/>
  <c r="H165" i="3" a="1"/>
  <c r="H165" i="3" s="1"/>
  <c r="H166" i="3" a="1"/>
  <c r="H166" i="3" s="1"/>
  <c r="H167" i="3" a="1"/>
  <c r="H167" i="3" s="1"/>
  <c r="H168" i="3" a="1"/>
  <c r="H168" i="3" s="1"/>
  <c r="H169" i="3" a="1"/>
  <c r="H169" i="3" s="1"/>
  <c r="H170" i="3" a="1"/>
  <c r="H170" i="3" s="1"/>
  <c r="H171" i="3" a="1"/>
  <c r="H171" i="3" s="1"/>
  <c r="H172" i="3" a="1"/>
  <c r="H172" i="3" s="1"/>
  <c r="H173" i="3" a="1"/>
  <c r="H173" i="3" s="1"/>
  <c r="H174" i="3" a="1"/>
  <c r="H174" i="3" s="1"/>
  <c r="H175" i="3" a="1"/>
  <c r="H175" i="3" s="1"/>
  <c r="H176" i="3" a="1"/>
  <c r="H176" i="3" s="1"/>
  <c r="H177" i="3" a="1"/>
  <c r="H177" i="3" s="1"/>
  <c r="H178" i="3" a="1"/>
  <c r="H178" i="3" s="1"/>
  <c r="H179" i="3" a="1"/>
  <c r="H179" i="3" s="1"/>
  <c r="H180" i="3" a="1"/>
  <c r="H180" i="3" s="1"/>
  <c r="H181" i="3" a="1"/>
  <c r="H181" i="3" s="1"/>
  <c r="H182" i="3" a="1"/>
  <c r="H182" i="3" s="1"/>
  <c r="H183" i="3" a="1"/>
  <c r="H183" i="3" s="1"/>
  <c r="H184" i="3" a="1"/>
  <c r="H184" i="3" s="1"/>
  <c r="H185" i="3" a="1"/>
  <c r="H185" i="3" s="1"/>
  <c r="H186" i="3" a="1"/>
  <c r="H186" i="3" s="1"/>
  <c r="H187" i="3" a="1"/>
  <c r="H187" i="3" s="1"/>
  <c r="H188" i="3" a="1"/>
  <c r="H188" i="3" s="1"/>
  <c r="H189" i="3" a="1"/>
  <c r="H189" i="3" s="1"/>
  <c r="H190" i="3" a="1"/>
  <c r="H190" i="3" s="1"/>
  <c r="H191" i="3" a="1"/>
  <c r="H191" i="3" s="1"/>
  <c r="H192" i="3" a="1"/>
  <c r="H192" i="3" s="1"/>
  <c r="H193" i="3" a="1"/>
  <c r="H193" i="3" s="1"/>
  <c r="H194" i="3" a="1"/>
  <c r="H194" i="3" s="1"/>
  <c r="H195" i="3" a="1"/>
  <c r="H195" i="3" s="1"/>
  <c r="H196" i="3" a="1"/>
  <c r="H196" i="3" s="1"/>
  <c r="H197" i="3" a="1"/>
  <c r="H197" i="3" s="1"/>
  <c r="H198" i="3" a="1"/>
  <c r="H198" i="3" s="1"/>
  <c r="H199" i="3" a="1"/>
  <c r="H199" i="3" s="1"/>
  <c r="H200" i="3" a="1"/>
  <c r="H200" i="3" s="1"/>
  <c r="H201" i="3" a="1"/>
  <c r="H201" i="3" s="1"/>
  <c r="H202" i="3" a="1"/>
  <c r="H202" i="3" s="1"/>
  <c r="H203" i="3" a="1"/>
  <c r="H203" i="3" s="1"/>
  <c r="H204" i="3" a="1"/>
  <c r="H204" i="3" s="1"/>
  <c r="H205" i="3" a="1"/>
  <c r="H205" i="3" s="1"/>
  <c r="H206" i="3" a="1"/>
  <c r="H206" i="3" s="1"/>
  <c r="H207" i="3" a="1"/>
  <c r="H207" i="3" s="1"/>
  <c r="H208" i="3" a="1"/>
  <c r="H208" i="3" s="1"/>
  <c r="H209" i="3" a="1"/>
  <c r="H209" i="3" s="1"/>
  <c r="H210" i="3" a="1"/>
  <c r="H210" i="3" s="1"/>
  <c r="H211" i="3" a="1"/>
  <c r="H211" i="3" s="1"/>
  <c r="H212" i="3" a="1"/>
  <c r="H212" i="3" s="1"/>
  <c r="H213" i="3" a="1"/>
  <c r="H213" i="3" s="1"/>
  <c r="H214" i="3" a="1"/>
  <c r="H214" i="3" s="1"/>
  <c r="H215" i="3" a="1"/>
  <c r="H215" i="3" s="1"/>
  <c r="H216" i="3" a="1"/>
  <c r="H216" i="3" s="1"/>
  <c r="H217" i="3" a="1"/>
  <c r="H217" i="3" s="1"/>
  <c r="H218" i="3" a="1"/>
  <c r="H218" i="3" s="1"/>
  <c r="H219" i="3" a="1"/>
  <c r="H219" i="3" s="1"/>
  <c r="H220" i="3" a="1"/>
  <c r="H220" i="3" s="1"/>
  <c r="H221" i="3" a="1"/>
  <c r="H221" i="3" s="1"/>
  <c r="H222" i="3" a="1"/>
  <c r="H222" i="3" s="1"/>
  <c r="E83" i="3"/>
  <c r="G84" i="3" a="1"/>
  <c r="G84" i="3" s="1"/>
  <c r="H84" i="3" a="1"/>
  <c r="H84" i="3" s="1"/>
  <c r="G85" i="3" a="1"/>
  <c r="G85" i="3" s="1"/>
  <c r="H85" i="3" a="1"/>
  <c r="H85" i="3" s="1"/>
  <c r="G86" i="3" a="1"/>
  <c r="G86" i="3" s="1"/>
  <c r="H86" i="3" a="1"/>
  <c r="H86" i="3" s="1"/>
  <c r="G87" i="3" a="1"/>
  <c r="G87" i="3" s="1"/>
  <c r="H87" i="3" a="1"/>
  <c r="H87" i="3" s="1"/>
  <c r="G88" i="3" a="1"/>
  <c r="G88" i="3" s="1"/>
  <c r="H88" i="3" a="1"/>
  <c r="H88" i="3" s="1"/>
  <c r="G89" i="3" a="1"/>
  <c r="G89" i="3" s="1"/>
  <c r="H89" i="3" a="1"/>
  <c r="H89" i="3" s="1"/>
  <c r="G90" i="3" a="1"/>
  <c r="G90" i="3" s="1"/>
  <c r="H90" i="3" a="1"/>
  <c r="H90" i="3" s="1"/>
  <c r="G80" i="3" a="1"/>
  <c r="G80" i="3" s="1"/>
  <c r="H80" i="3" a="1"/>
  <c r="H80" i="3" s="1"/>
  <c r="G91" i="3" a="1"/>
  <c r="G91" i="3" s="1"/>
  <c r="H91" i="3" a="1"/>
  <c r="H91" i="3" s="1"/>
  <c r="G92" i="3" a="1"/>
  <c r="G92" i="3" s="1"/>
  <c r="H92" i="3" a="1"/>
  <c r="H92" i="3" s="1"/>
  <c r="G93" i="3" a="1"/>
  <c r="G93" i="3" s="1"/>
  <c r="H93" i="3" a="1"/>
  <c r="H93" i="3" s="1"/>
  <c r="G94" i="3" a="1"/>
  <c r="G94" i="3" s="1"/>
  <c r="H94" i="3" a="1"/>
  <c r="H94" i="3" s="1"/>
  <c r="G95" i="3" a="1"/>
  <c r="G95" i="3" s="1"/>
  <c r="H95" i="3" a="1"/>
  <c r="H95" i="3" s="1"/>
  <c r="G81" i="3" a="1"/>
  <c r="G81" i="3" s="1"/>
  <c r="H81" i="3" a="1"/>
  <c r="H81" i="3" s="1"/>
  <c r="G82" i="3" a="1"/>
  <c r="G82" i="3" s="1"/>
  <c r="H82" i="3" a="1"/>
  <c r="H82" i="3" s="1"/>
  <c r="G96" i="3" a="1"/>
  <c r="G96" i="3" s="1"/>
  <c r="H96" i="3" a="1"/>
  <c r="H96" i="3" s="1"/>
  <c r="G79" i="3" a="1"/>
  <c r="G79" i="3" s="1"/>
  <c r="H79" i="3" a="1"/>
  <c r="H79" i="3" s="1"/>
  <c r="G72" i="3" a="1"/>
  <c r="G72" i="3" s="1"/>
  <c r="H72" i="3" a="1"/>
  <c r="H72" i="3" s="1"/>
  <c r="G73" i="3" a="1"/>
  <c r="G73" i="3" s="1"/>
  <c r="H73" i="3" a="1"/>
  <c r="H73" i="3" s="1"/>
  <c r="G74" i="3" a="1"/>
  <c r="G74" i="3" s="1"/>
  <c r="H74" i="3" a="1"/>
  <c r="H74" i="3" s="1"/>
  <c r="G75" i="3" a="1"/>
  <c r="G75" i="3" s="1"/>
  <c r="H75" i="3" a="1"/>
  <c r="H75" i="3" s="1"/>
  <c r="G76" i="3" a="1"/>
  <c r="G76" i="3" s="1"/>
  <c r="H76" i="3" a="1"/>
  <c r="H76" i="3" s="1"/>
  <c r="G78" i="3" a="1"/>
  <c r="G78" i="3" s="1"/>
  <c r="H78" i="3" a="1"/>
  <c r="H78" i="3" s="1"/>
  <c r="G83" i="3" a="1"/>
  <c r="G83" i="3" s="1"/>
  <c r="H83" i="3" a="1"/>
  <c r="H83" i="3" s="1"/>
  <c r="S21" i="1" a="1"/>
  <c r="S21" i="1" s="1"/>
  <c r="E15" i="4" a="1"/>
  <c r="E15" i="4" s="1"/>
  <c r="G58" i="3" a="1"/>
  <c r="G58" i="3" s="1"/>
  <c r="H58" i="3" a="1"/>
  <c r="H58" i="3" s="1"/>
  <c r="G59" i="3" a="1"/>
  <c r="G59" i="3" s="1"/>
  <c r="H59" i="3" a="1"/>
  <c r="H59" i="3" s="1"/>
  <c r="G60" i="3" a="1"/>
  <c r="G60" i="3" s="1"/>
  <c r="H60" i="3" a="1"/>
  <c r="H60" i="3" s="1"/>
  <c r="G61" i="3" a="1"/>
  <c r="G61" i="3" s="1"/>
  <c r="H61" i="3" a="1"/>
  <c r="H61" i="3" s="1"/>
  <c r="G62" i="3" a="1"/>
  <c r="G62" i="3" s="1"/>
  <c r="H62" i="3" a="1"/>
  <c r="H62" i="3" s="1"/>
  <c r="G63" i="3" a="1"/>
  <c r="G63" i="3" s="1"/>
  <c r="H63" i="3" a="1"/>
  <c r="H63" i="3" s="1"/>
  <c r="G64" i="3" a="1"/>
  <c r="G64" i="3" s="1"/>
  <c r="H64" i="3" a="1"/>
  <c r="H64" i="3" s="1"/>
  <c r="G65" i="3" a="1"/>
  <c r="G65" i="3" s="1"/>
  <c r="H65" i="3" a="1"/>
  <c r="H65" i="3" s="1"/>
  <c r="G66" i="3" a="1"/>
  <c r="G66" i="3" s="1"/>
  <c r="H66" i="3" a="1"/>
  <c r="H66" i="3" s="1"/>
  <c r="G67" i="3" a="1"/>
  <c r="G67" i="3" s="1"/>
  <c r="H67" i="3" a="1"/>
  <c r="H67" i="3" s="1"/>
  <c r="G68" i="3" a="1"/>
  <c r="G68" i="3" s="1"/>
  <c r="H68" i="3" a="1"/>
  <c r="H68" i="3" s="1"/>
  <c r="G69" i="3" a="1"/>
  <c r="G69" i="3" s="1"/>
  <c r="H69" i="3" a="1"/>
  <c r="H69" i="3" s="1"/>
  <c r="G70" i="3" a="1"/>
  <c r="G70" i="3" s="1"/>
  <c r="H70" i="3" a="1"/>
  <c r="H70" i="3" s="1"/>
  <c r="G71" i="3" a="1"/>
  <c r="G71" i="3" s="1"/>
  <c r="H71" i="3" a="1"/>
  <c r="H71" i="3" s="1"/>
  <c r="AE33" i="1"/>
  <c r="AE29" i="1"/>
  <c r="AE40" i="1"/>
  <c r="E14" i="4" a="1"/>
  <c r="E14" i="4" s="1"/>
  <c r="E13" i="4" a="1"/>
  <c r="E13" i="4" s="1"/>
  <c r="E8" i="3"/>
  <c r="AE28" i="1"/>
  <c r="AE48" i="1"/>
  <c r="G30" i="3" a="1"/>
  <c r="G30" i="3" s="1"/>
  <c r="H30" i="3" a="1"/>
  <c r="H30" i="3" s="1"/>
  <c r="G23" i="3" a="1"/>
  <c r="G23" i="3" s="1"/>
  <c r="H23" i="3" a="1"/>
  <c r="H23" i="3" s="1"/>
  <c r="G12" i="3" a="1"/>
  <c r="G12" i="3" s="1"/>
  <c r="H12" i="3" a="1"/>
  <c r="H12" i="3" s="1"/>
  <c r="G24" i="3" a="1"/>
  <c r="G24" i="3" s="1"/>
  <c r="H24" i="3" a="1"/>
  <c r="H24" i="3" s="1"/>
  <c r="G25" i="3" a="1"/>
  <c r="G25" i="3" s="1"/>
  <c r="H25" i="3" a="1"/>
  <c r="H25" i="3" s="1"/>
  <c r="G14" i="3" a="1"/>
  <c r="G14" i="3" s="1"/>
  <c r="H14" i="3" a="1"/>
  <c r="H14" i="3" s="1"/>
  <c r="G37" i="3" a="1"/>
  <c r="G37" i="3" s="1"/>
  <c r="H37" i="3" a="1"/>
  <c r="H37" i="3" s="1"/>
  <c r="G38" i="3" a="1"/>
  <c r="G38" i="3" s="1"/>
  <c r="H38" i="3" a="1"/>
  <c r="H38" i="3" s="1"/>
  <c r="G39" i="3" a="1"/>
  <c r="G39" i="3" s="1"/>
  <c r="H39" i="3" a="1"/>
  <c r="H39" i="3" s="1"/>
  <c r="G40" i="3" a="1"/>
  <c r="G40" i="3" s="1"/>
  <c r="H40" i="3" a="1"/>
  <c r="H40" i="3" s="1"/>
  <c r="G41" i="3" a="1"/>
  <c r="G41" i="3" s="1"/>
  <c r="H41" i="3" a="1"/>
  <c r="H41" i="3" s="1"/>
  <c r="G42" i="3" a="1"/>
  <c r="G42" i="3" s="1"/>
  <c r="H42" i="3" a="1"/>
  <c r="H42" i="3" s="1"/>
  <c r="G43" i="3" a="1"/>
  <c r="G43" i="3" s="1"/>
  <c r="H43" i="3" a="1"/>
  <c r="H43" i="3" s="1"/>
  <c r="G44" i="3" a="1"/>
  <c r="G44" i="3" s="1"/>
  <c r="H44" i="3" a="1"/>
  <c r="H44" i="3" s="1"/>
  <c r="G45" i="3" a="1"/>
  <c r="G45" i="3" s="1"/>
  <c r="H45" i="3" a="1"/>
  <c r="H45" i="3" s="1"/>
  <c r="G46" i="3" a="1"/>
  <c r="G46" i="3" s="1"/>
  <c r="H46" i="3" a="1"/>
  <c r="H46" i="3" s="1"/>
  <c r="G47" i="3" a="1"/>
  <c r="G47" i="3" s="1"/>
  <c r="H47" i="3" a="1"/>
  <c r="H47" i="3" s="1"/>
  <c r="G48" i="3" a="1"/>
  <c r="G48" i="3" s="1"/>
  <c r="H48" i="3" a="1"/>
  <c r="H48" i="3" s="1"/>
  <c r="G49" i="3" a="1"/>
  <c r="G49" i="3" s="1"/>
  <c r="H49" i="3" a="1"/>
  <c r="H49" i="3" s="1"/>
  <c r="G50" i="3" a="1"/>
  <c r="G50" i="3" s="1"/>
  <c r="H50" i="3" a="1"/>
  <c r="H50" i="3" s="1"/>
  <c r="G51" i="3" a="1"/>
  <c r="G51" i="3" s="1"/>
  <c r="H51" i="3" a="1"/>
  <c r="H51" i="3" s="1"/>
  <c r="G52" i="3" a="1"/>
  <c r="G52" i="3" s="1"/>
  <c r="H52" i="3" a="1"/>
  <c r="H52" i="3" s="1"/>
  <c r="G53" i="3" a="1"/>
  <c r="G53" i="3" s="1"/>
  <c r="H53" i="3" a="1"/>
  <c r="H53" i="3" s="1"/>
  <c r="G54" i="3" a="1"/>
  <c r="G54" i="3" s="1"/>
  <c r="H54" i="3" a="1"/>
  <c r="H54" i="3" s="1"/>
  <c r="G55" i="3" a="1"/>
  <c r="G55" i="3" s="1"/>
  <c r="H55" i="3" a="1"/>
  <c r="H55" i="3" s="1"/>
  <c r="G57" i="3" a="1"/>
  <c r="G57" i="3" s="1"/>
  <c r="H57" i="3" a="1"/>
  <c r="H57" i="3" s="1"/>
  <c r="G56" i="3" a="1"/>
  <c r="G56" i="3" s="1"/>
  <c r="H56" i="3" a="1"/>
  <c r="H56" i="3" s="1"/>
  <c r="G29" i="3" a="1"/>
  <c r="G29" i="3" s="1"/>
  <c r="H29" i="3" a="1"/>
  <c r="H29" i="3" s="1"/>
  <c r="G31" i="3" a="1"/>
  <c r="G31" i="3" s="1"/>
  <c r="H31" i="3" a="1"/>
  <c r="H31" i="3" s="1"/>
  <c r="G32" i="3" a="1"/>
  <c r="G32" i="3" s="1"/>
  <c r="H32" i="3" a="1"/>
  <c r="H32" i="3" s="1"/>
  <c r="G33" i="3" a="1"/>
  <c r="G33" i="3" s="1"/>
  <c r="H33" i="3" a="1"/>
  <c r="H33" i="3" s="1"/>
  <c r="G34" i="3" a="1"/>
  <c r="G34" i="3" s="1"/>
  <c r="H34" i="3" a="1"/>
  <c r="H34" i="3" s="1"/>
  <c r="G35" i="3" a="1"/>
  <c r="G35" i="3" s="1"/>
  <c r="H35" i="3" a="1"/>
  <c r="H35" i="3" s="1"/>
  <c r="G36" i="3" a="1"/>
  <c r="G36" i="3" s="1"/>
  <c r="H36" i="3" a="1"/>
  <c r="H36" i="3" s="1"/>
  <c r="G21" i="3" a="1"/>
  <c r="G21" i="3" s="1"/>
  <c r="H21" i="3" a="1"/>
  <c r="H21" i="3" s="1"/>
  <c r="G22" i="3" a="1"/>
  <c r="G22" i="3" s="1"/>
  <c r="H22" i="3" a="1"/>
  <c r="H22" i="3" s="1"/>
  <c r="H15" i="3" a="1"/>
  <c r="H15" i="3" s="1"/>
  <c r="H16" i="3" a="1"/>
  <c r="H16" i="3" s="1"/>
  <c r="H17" i="3" a="1"/>
  <c r="H17" i="3" s="1"/>
  <c r="H26" i="3" a="1"/>
  <c r="H26" i="3" s="1"/>
  <c r="H18" i="3" a="1"/>
  <c r="H18" i="3" s="1"/>
  <c r="H19" i="3" a="1"/>
  <c r="H19" i="3" s="1"/>
  <c r="H27" i="3" a="1"/>
  <c r="H27" i="3" s="1"/>
  <c r="H28" i="3" a="1"/>
  <c r="H28" i="3" s="1"/>
  <c r="H20" i="3" a="1"/>
  <c r="H20" i="3" s="1"/>
  <c r="G15" i="3" a="1"/>
  <c r="G15" i="3" s="1"/>
  <c r="G16" i="3" a="1"/>
  <c r="G16" i="3" s="1"/>
  <c r="G17" i="3" a="1"/>
  <c r="G17" i="3" s="1"/>
  <c r="G26" i="3" a="1"/>
  <c r="G26" i="3" s="1"/>
  <c r="G18" i="3" a="1"/>
  <c r="G18" i="3" s="1"/>
  <c r="G19" i="3" a="1"/>
  <c r="G19" i="3" s="1"/>
  <c r="G27" i="3" a="1"/>
  <c r="G27" i="3" s="1"/>
  <c r="G28" i="3" a="1"/>
  <c r="G28" i="3" s="1"/>
  <c r="G20" i="3" a="1"/>
  <c r="G20" i="3" s="1"/>
  <c r="C13" i="5" a="1"/>
  <c r="C13" i="5" s="1"/>
  <c r="H13" i="5" s="1"/>
  <c r="AE26" i="1"/>
  <c r="E21" i="4" a="1"/>
  <c r="E21" i="4" s="1"/>
  <c r="E8" i="4" a="1"/>
  <c r="E8" i="4" s="1"/>
  <c r="B8" i="3" s="1"/>
  <c r="E20" i="4" a="1"/>
  <c r="E20" i="4" s="1"/>
  <c r="Q26" i="1"/>
  <c r="E11" i="4" a="1"/>
  <c r="E11" i="4" s="1"/>
  <c r="E9" i="4"/>
  <c r="C8" i="3" s="1"/>
  <c r="H13" i="3" a="1"/>
  <c r="H13" i="3" s="1"/>
  <c r="G13" i="3" a="1"/>
  <c r="G13" i="3" s="1"/>
  <c r="CI25" i="1"/>
  <c r="BU25" i="1"/>
  <c r="BU42" i="1"/>
  <c r="BG25" i="1"/>
  <c r="AS25" i="1"/>
  <c r="AE25" i="1"/>
  <c r="Q25" i="1"/>
  <c r="Q28" i="1"/>
  <c r="CI41" i="1"/>
  <c r="BU41" i="1"/>
  <c r="BG41" i="1"/>
  <c r="AS41" i="1"/>
  <c r="AE41" i="1"/>
  <c r="Q41" i="1"/>
  <c r="CI10" i="1"/>
  <c r="CI11" i="1"/>
  <c r="CI12" i="1"/>
  <c r="CI13" i="1"/>
  <c r="CI14" i="1"/>
  <c r="CI15" i="1"/>
  <c r="CI16" i="1"/>
  <c r="CI17" i="1"/>
  <c r="CI18" i="1"/>
  <c r="CI19" i="1"/>
  <c r="CI20" i="1"/>
  <c r="BW21" i="1" a="1"/>
  <c r="BW21" i="1" s="1"/>
  <c r="BX21" i="1" a="1"/>
  <c r="BX21" i="1" s="1"/>
  <c r="BY21" i="1" a="1"/>
  <c r="BY21" i="1" s="1"/>
  <c r="BZ21" i="1" a="1"/>
  <c r="BZ21" i="1" s="1"/>
  <c r="CA21" i="1" a="1"/>
  <c r="CA21" i="1" s="1"/>
  <c r="CB21" i="1" a="1"/>
  <c r="CB21" i="1" s="1"/>
  <c r="CC21" i="1" a="1"/>
  <c r="CC21" i="1" s="1"/>
  <c r="CD21" i="1" a="1"/>
  <c r="CD21" i="1" s="1"/>
  <c r="CE21" i="1" a="1"/>
  <c r="CE21" i="1" s="1"/>
  <c r="CF21" i="1" a="1"/>
  <c r="CF21" i="1" s="1"/>
  <c r="CG21" i="1" a="1"/>
  <c r="CG21" i="1" s="1"/>
  <c r="CH21" i="1" a="1"/>
  <c r="CH21" i="1" s="1"/>
  <c r="CI21" i="1" a="1"/>
  <c r="CI21" i="1" s="1"/>
  <c r="CI24" i="1"/>
  <c r="CI31" i="1"/>
  <c r="CI32" i="1"/>
  <c r="CI34" i="1"/>
  <c r="CI35" i="1"/>
  <c r="CI36" i="1"/>
  <c r="CI37" i="1"/>
  <c r="CI38" i="1"/>
  <c r="CI39" i="1"/>
  <c r="CI27" i="1"/>
  <c r="CI42" i="1"/>
  <c r="BW43" i="1" a="1"/>
  <c r="BW43" i="1" s="1"/>
  <c r="BX43" i="1" a="1"/>
  <c r="BX43" i="1" s="1"/>
  <c r="BY43" i="1" a="1"/>
  <c r="BY43" i="1" s="1"/>
  <c r="BZ43" i="1" a="1"/>
  <c r="BZ43" i="1" s="1"/>
  <c r="CA43" i="1" a="1"/>
  <c r="CA43" i="1" s="1"/>
  <c r="CB43" i="1" a="1"/>
  <c r="CB43" i="1" s="1"/>
  <c r="CC43" i="1" a="1"/>
  <c r="CC43" i="1" s="1"/>
  <c r="CD43" i="1" a="1"/>
  <c r="CD43" i="1" s="1"/>
  <c r="CE43" i="1" a="1"/>
  <c r="CE43" i="1" s="1"/>
  <c r="CF43" i="1" a="1"/>
  <c r="CF43" i="1" s="1"/>
  <c r="CG43" i="1" a="1"/>
  <c r="CG43" i="1" s="1"/>
  <c r="CH43" i="1" a="1"/>
  <c r="CH43" i="1" s="1"/>
  <c r="CI43" i="1" a="1"/>
  <c r="CI43" i="1" s="1"/>
  <c r="CI46" i="1"/>
  <c r="CI47" i="1"/>
  <c r="CI49" i="1"/>
  <c r="CI50" i="1"/>
  <c r="CI51" i="1"/>
  <c r="CI52" i="1"/>
  <c r="CI53" i="1"/>
  <c r="CI54" i="1"/>
  <c r="CI55" i="1"/>
  <c r="CI56" i="1"/>
  <c r="CI57" i="1"/>
  <c r="BW58" i="1" a="1"/>
  <c r="BW58" i="1" s="1"/>
  <c r="BX58" i="1" a="1"/>
  <c r="BX58" i="1" s="1"/>
  <c r="BY58" i="1" a="1"/>
  <c r="BY58" i="1" s="1"/>
  <c r="BZ58" i="1" a="1"/>
  <c r="BZ58" i="1" s="1"/>
  <c r="CA58" i="1" a="1"/>
  <c r="CA58" i="1" s="1"/>
  <c r="CB58" i="1" a="1"/>
  <c r="CB58" i="1" s="1"/>
  <c r="CC58" i="1" a="1"/>
  <c r="CC58" i="1" s="1"/>
  <c r="CD58" i="1" a="1"/>
  <c r="CD58" i="1" s="1"/>
  <c r="CE58" i="1" a="1"/>
  <c r="CE58" i="1" s="1"/>
  <c r="CF58" i="1" a="1"/>
  <c r="CF58" i="1" s="1"/>
  <c r="CG58" i="1" a="1"/>
  <c r="CG58" i="1" s="1"/>
  <c r="CH58" i="1" a="1"/>
  <c r="CH58" i="1" s="1"/>
  <c r="CI58" i="1" a="1"/>
  <c r="CI58" i="1" s="1"/>
  <c r="BU10" i="1"/>
  <c r="BU11" i="1"/>
  <c r="BU12" i="1"/>
  <c r="BU13" i="1"/>
  <c r="BU14" i="1"/>
  <c r="BU15" i="1"/>
  <c r="BU16" i="1"/>
  <c r="BU17" i="1"/>
  <c r="BU18" i="1"/>
  <c r="BU19" i="1"/>
  <c r="BU20" i="1"/>
  <c r="BI21" i="1" a="1"/>
  <c r="BI21" i="1" s="1"/>
  <c r="BJ21" i="1" a="1"/>
  <c r="BJ21" i="1" s="1"/>
  <c r="BK21" i="1" a="1"/>
  <c r="BK21" i="1" s="1"/>
  <c r="BL21" i="1" a="1"/>
  <c r="BL21" i="1" s="1"/>
  <c r="BM21" i="1" a="1"/>
  <c r="BM21" i="1" s="1"/>
  <c r="BN21" i="1" a="1"/>
  <c r="BN21" i="1" s="1"/>
  <c r="BO21" i="1" a="1"/>
  <c r="BO21" i="1" s="1"/>
  <c r="BP21" i="1" a="1"/>
  <c r="BP21" i="1" s="1"/>
  <c r="BQ21" i="1" a="1"/>
  <c r="BQ21" i="1" s="1"/>
  <c r="BR21" i="1" a="1"/>
  <c r="BR21" i="1" s="1"/>
  <c r="BS21" i="1" a="1"/>
  <c r="BS21" i="1" s="1"/>
  <c r="BT21" i="1" a="1"/>
  <c r="BT21" i="1" s="1"/>
  <c r="BU21" i="1" a="1"/>
  <c r="BU21" i="1" s="1"/>
  <c r="BU24" i="1"/>
  <c r="BU31" i="1"/>
  <c r="BU32" i="1"/>
  <c r="BU34" i="1"/>
  <c r="BU35" i="1"/>
  <c r="BU36" i="1"/>
  <c r="BU37" i="1"/>
  <c r="BU38" i="1"/>
  <c r="BU39" i="1"/>
  <c r="BU27" i="1"/>
  <c r="BI43" i="1" a="1"/>
  <c r="BI43" i="1" s="1"/>
  <c r="BJ43" i="1" a="1"/>
  <c r="BJ43" i="1" s="1"/>
  <c r="BK43" i="1" a="1"/>
  <c r="BK43" i="1" s="1"/>
  <c r="BL43" i="1" a="1"/>
  <c r="BL43" i="1" s="1"/>
  <c r="BM43" i="1" a="1"/>
  <c r="BM43" i="1" s="1"/>
  <c r="BN43" i="1" a="1"/>
  <c r="BN43" i="1" s="1"/>
  <c r="BO43" i="1" a="1"/>
  <c r="BO43" i="1" s="1"/>
  <c r="BP43" i="1" a="1"/>
  <c r="BP43" i="1" s="1"/>
  <c r="BQ43" i="1" a="1"/>
  <c r="BQ43" i="1" s="1"/>
  <c r="BR43" i="1" a="1"/>
  <c r="BR43" i="1" s="1"/>
  <c r="BS43" i="1" a="1"/>
  <c r="BS43" i="1" s="1"/>
  <c r="BT43" i="1" a="1"/>
  <c r="BT43" i="1" s="1"/>
  <c r="BU43" i="1" a="1"/>
  <c r="BU43" i="1" s="1"/>
  <c r="BU46" i="1"/>
  <c r="BU47" i="1"/>
  <c r="BU49" i="1"/>
  <c r="BU50" i="1"/>
  <c r="BU51" i="1"/>
  <c r="BU52" i="1"/>
  <c r="BU53" i="1"/>
  <c r="BU54" i="1"/>
  <c r="BU55" i="1"/>
  <c r="BU56" i="1"/>
  <c r="BU57" i="1"/>
  <c r="BI58" i="1" a="1"/>
  <c r="BI58" i="1" s="1"/>
  <c r="BJ58" i="1" a="1"/>
  <c r="BJ58" i="1" s="1"/>
  <c r="BK58" i="1" a="1"/>
  <c r="BK58" i="1" s="1"/>
  <c r="BL58" i="1" a="1"/>
  <c r="BL58" i="1" s="1"/>
  <c r="BM58" i="1" a="1"/>
  <c r="BM58" i="1" s="1"/>
  <c r="BN58" i="1" a="1"/>
  <c r="BN58" i="1" s="1"/>
  <c r="BO58" i="1" a="1"/>
  <c r="BO58" i="1" s="1"/>
  <c r="BP58" i="1" a="1"/>
  <c r="BP58" i="1" s="1"/>
  <c r="BQ58" i="1" a="1"/>
  <c r="BQ58" i="1" s="1"/>
  <c r="BR58" i="1" a="1"/>
  <c r="BR58" i="1" s="1"/>
  <c r="BS58" i="1" a="1"/>
  <c r="BS58" i="1" s="1"/>
  <c r="BT58" i="1" a="1"/>
  <c r="BT58" i="1" s="1"/>
  <c r="BU58" i="1" a="1"/>
  <c r="BU58" i="1" s="1"/>
  <c r="BG10" i="1"/>
  <c r="BG11" i="1"/>
  <c r="BG12" i="1"/>
  <c r="BG13" i="1"/>
  <c r="BG14" i="1"/>
  <c r="BG15" i="1"/>
  <c r="BG16" i="1"/>
  <c r="BG17" i="1"/>
  <c r="BG18" i="1"/>
  <c r="BG19" i="1"/>
  <c r="BG20" i="1"/>
  <c r="AU21" i="1" a="1"/>
  <c r="AU21" i="1" s="1"/>
  <c r="AV21" i="1" a="1"/>
  <c r="AV21" i="1" s="1"/>
  <c r="AW21" i="1" a="1"/>
  <c r="AW21" i="1" s="1"/>
  <c r="AX21" i="1" a="1"/>
  <c r="AX21" i="1" s="1"/>
  <c r="AY21" i="1" a="1"/>
  <c r="AY21" i="1" s="1"/>
  <c r="AZ21" i="1" a="1"/>
  <c r="AZ21" i="1" s="1"/>
  <c r="BA21" i="1" a="1"/>
  <c r="BA21" i="1" s="1"/>
  <c r="BB21" i="1" a="1"/>
  <c r="BB21" i="1" s="1"/>
  <c r="BC21" i="1" a="1"/>
  <c r="BC21" i="1" s="1"/>
  <c r="BD21" i="1" a="1"/>
  <c r="BD21" i="1" s="1"/>
  <c r="BE21" i="1" a="1"/>
  <c r="BE21" i="1" s="1"/>
  <c r="BF21" i="1" a="1"/>
  <c r="BF21" i="1" s="1"/>
  <c r="BG21" i="1" a="1"/>
  <c r="BG21" i="1" s="1"/>
  <c r="BG24" i="1"/>
  <c r="BG31" i="1"/>
  <c r="BG32" i="1"/>
  <c r="BG34" i="1"/>
  <c r="BG35" i="1"/>
  <c r="BG36" i="1"/>
  <c r="BG37" i="1"/>
  <c r="BG38" i="1"/>
  <c r="BG39" i="1"/>
  <c r="BG27" i="1"/>
  <c r="BG42" i="1"/>
  <c r="AU43" i="1" a="1"/>
  <c r="AU43" i="1" s="1"/>
  <c r="AV43" i="1" a="1"/>
  <c r="AV43" i="1" s="1"/>
  <c r="AW43" i="1" a="1"/>
  <c r="AW43" i="1" s="1"/>
  <c r="AX43" i="1" a="1"/>
  <c r="AX43" i="1" s="1"/>
  <c r="AY43" i="1" a="1"/>
  <c r="AY43" i="1" s="1"/>
  <c r="AZ43" i="1" a="1"/>
  <c r="AZ43" i="1" s="1"/>
  <c r="BA43" i="1" a="1"/>
  <c r="BA43" i="1" s="1"/>
  <c r="BB43" i="1" a="1"/>
  <c r="BB43" i="1" s="1"/>
  <c r="BC43" i="1" a="1"/>
  <c r="BC43" i="1" s="1"/>
  <c r="BD43" i="1" a="1"/>
  <c r="BD43" i="1" s="1"/>
  <c r="BE43" i="1" a="1"/>
  <c r="BE43" i="1" s="1"/>
  <c r="BF43" i="1" a="1"/>
  <c r="BF43" i="1" s="1"/>
  <c r="BG43" i="1" a="1"/>
  <c r="BG43" i="1" s="1"/>
  <c r="BG46" i="1"/>
  <c r="BG47" i="1"/>
  <c r="BG49" i="1"/>
  <c r="BG50" i="1"/>
  <c r="BG51" i="1"/>
  <c r="BG52" i="1"/>
  <c r="BG53" i="1"/>
  <c r="BG54" i="1"/>
  <c r="BG55" i="1"/>
  <c r="BG56" i="1"/>
  <c r="BG57" i="1"/>
  <c r="AU58" i="1" a="1"/>
  <c r="AU58" i="1" s="1"/>
  <c r="AV58" i="1" a="1"/>
  <c r="AV58" i="1" s="1"/>
  <c r="AW58" i="1" a="1"/>
  <c r="AW58" i="1" s="1"/>
  <c r="AX58" i="1" a="1"/>
  <c r="AX58" i="1" s="1"/>
  <c r="AY58" i="1" a="1"/>
  <c r="AY58" i="1" s="1"/>
  <c r="AZ58" i="1" a="1"/>
  <c r="AZ58" i="1" s="1"/>
  <c r="BA58" i="1" a="1"/>
  <c r="BA58" i="1" s="1"/>
  <c r="BB58" i="1" a="1"/>
  <c r="BB58" i="1" s="1"/>
  <c r="BC58" i="1" a="1"/>
  <c r="BC58" i="1" s="1"/>
  <c r="BD58" i="1" a="1"/>
  <c r="BD58" i="1" s="1"/>
  <c r="BE58" i="1" a="1"/>
  <c r="BE58" i="1" s="1"/>
  <c r="BF58" i="1" a="1"/>
  <c r="BF58" i="1" s="1"/>
  <c r="BG58" i="1" a="1"/>
  <c r="BG58" i="1" s="1"/>
  <c r="AS10" i="1"/>
  <c r="AS11" i="1"/>
  <c r="AS12" i="1"/>
  <c r="AS13" i="1"/>
  <c r="AS14" i="1"/>
  <c r="AS15" i="1"/>
  <c r="AS16" i="1"/>
  <c r="AS17" i="1"/>
  <c r="AS18" i="1"/>
  <c r="AS19" i="1"/>
  <c r="AS20" i="1"/>
  <c r="AG21" i="1" a="1"/>
  <c r="AG21" i="1" s="1"/>
  <c r="AH21" i="1" a="1"/>
  <c r="AH21" i="1" s="1"/>
  <c r="AI21" i="1" a="1"/>
  <c r="AI21" i="1" s="1"/>
  <c r="AJ21" i="1" a="1"/>
  <c r="AJ21" i="1" s="1"/>
  <c r="AK21" i="1" a="1"/>
  <c r="AK21" i="1" s="1"/>
  <c r="AL21" i="1" a="1"/>
  <c r="AL21" i="1" s="1"/>
  <c r="AM21" i="1" a="1"/>
  <c r="AM21" i="1" s="1"/>
  <c r="AN21" i="1" a="1"/>
  <c r="AN21" i="1" s="1"/>
  <c r="AO21" i="1" a="1"/>
  <c r="AO21" i="1" s="1"/>
  <c r="AP21" i="1" a="1"/>
  <c r="AP21" i="1" s="1"/>
  <c r="AQ21" i="1" a="1"/>
  <c r="AQ21" i="1" s="1"/>
  <c r="AR21" i="1" a="1"/>
  <c r="AR21" i="1" s="1"/>
  <c r="AS21" i="1" a="1"/>
  <c r="AS21" i="1" s="1"/>
  <c r="AS24" i="1"/>
  <c r="AS31" i="1"/>
  <c r="AS32" i="1"/>
  <c r="AS34" i="1"/>
  <c r="AS35" i="1"/>
  <c r="AS36" i="1"/>
  <c r="AS37" i="1"/>
  <c r="AS38" i="1"/>
  <c r="AS39" i="1"/>
  <c r="AS27" i="1"/>
  <c r="AS42" i="1"/>
  <c r="AG43" i="1" a="1"/>
  <c r="AG43" i="1" s="1"/>
  <c r="AH43" i="1" a="1"/>
  <c r="AH43" i="1" s="1"/>
  <c r="AI43" i="1" a="1"/>
  <c r="AI43" i="1" s="1"/>
  <c r="AJ43" i="1" a="1"/>
  <c r="AJ43" i="1" s="1"/>
  <c r="AK43" i="1" a="1"/>
  <c r="AK43" i="1" s="1"/>
  <c r="AL43" i="1" a="1"/>
  <c r="AL43" i="1" s="1"/>
  <c r="AM43" i="1" a="1"/>
  <c r="AM43" i="1" s="1"/>
  <c r="AN43" i="1" a="1"/>
  <c r="AN43" i="1" s="1"/>
  <c r="AO43" i="1" a="1"/>
  <c r="AO43" i="1" s="1"/>
  <c r="AP43" i="1" a="1"/>
  <c r="AP43" i="1" s="1"/>
  <c r="AQ43" i="1" a="1"/>
  <c r="AQ43" i="1" s="1"/>
  <c r="AR43" i="1" a="1"/>
  <c r="AR43" i="1" s="1"/>
  <c r="AS43" i="1" a="1"/>
  <c r="AS43" i="1" s="1"/>
  <c r="AS46" i="1"/>
  <c r="AS47" i="1"/>
  <c r="AS49" i="1"/>
  <c r="AS50" i="1"/>
  <c r="AS51" i="1"/>
  <c r="AS52" i="1"/>
  <c r="AS53" i="1"/>
  <c r="AS54" i="1"/>
  <c r="AS55" i="1"/>
  <c r="AS56" i="1"/>
  <c r="AS57" i="1"/>
  <c r="AH58" i="1" a="1"/>
  <c r="AH58" i="1" s="1"/>
  <c r="AI58" i="1" a="1"/>
  <c r="AI58" i="1" s="1"/>
  <c r="AJ58" i="1" a="1"/>
  <c r="AJ58" i="1" s="1"/>
  <c r="AK58" i="1" a="1"/>
  <c r="AK58" i="1" s="1"/>
  <c r="AL58" i="1" a="1"/>
  <c r="AL58" i="1" s="1"/>
  <c r="AM58" i="1" a="1"/>
  <c r="AM58" i="1" s="1"/>
  <c r="AN58" i="1" a="1"/>
  <c r="AN58" i="1" s="1"/>
  <c r="AO58" i="1" a="1"/>
  <c r="AO58" i="1" s="1"/>
  <c r="AP58" i="1" a="1"/>
  <c r="AP58" i="1" s="1"/>
  <c r="AQ58" i="1" a="1"/>
  <c r="AQ58" i="1" s="1"/>
  <c r="AR58" i="1" a="1"/>
  <c r="AR58" i="1" s="1"/>
  <c r="AS58" i="1" a="1"/>
  <c r="AS58" i="1" s="1"/>
  <c r="AE10" i="1"/>
  <c r="AE11" i="1"/>
  <c r="AE12" i="1"/>
  <c r="AE14" i="1"/>
  <c r="AE15" i="1"/>
  <c r="AE16" i="1"/>
  <c r="AE17" i="1"/>
  <c r="AE18" i="1"/>
  <c r="AE19" i="1"/>
  <c r="AE20" i="1"/>
  <c r="T21" i="1" a="1"/>
  <c r="T21" i="1" s="1"/>
  <c r="U21" i="1" a="1"/>
  <c r="U21" i="1" s="1"/>
  <c r="V21" i="1" a="1"/>
  <c r="V21" i="1" s="1"/>
  <c r="W21" i="1" a="1"/>
  <c r="W21" i="1" s="1"/>
  <c r="X21" i="1" a="1"/>
  <c r="X21" i="1" s="1"/>
  <c r="Y21" i="1" a="1"/>
  <c r="Y21" i="1" s="1"/>
  <c r="Z21" i="1" a="1"/>
  <c r="Z21" i="1" s="1"/>
  <c r="AA21" i="1" a="1"/>
  <c r="AA21" i="1" s="1"/>
  <c r="AB21" i="1" a="1"/>
  <c r="AB21" i="1" s="1"/>
  <c r="AC21" i="1" a="1"/>
  <c r="AC21" i="1" s="1"/>
  <c r="AD21" i="1" a="1"/>
  <c r="AD21" i="1" s="1"/>
  <c r="AE24" i="1"/>
  <c r="AE31" i="1"/>
  <c r="AE32" i="1"/>
  <c r="AE34" i="1"/>
  <c r="AE35" i="1"/>
  <c r="AE36" i="1"/>
  <c r="AE37" i="1"/>
  <c r="AE38" i="1"/>
  <c r="AE39" i="1"/>
  <c r="AE27" i="1"/>
  <c r="AE42" i="1"/>
  <c r="S43" i="1" a="1"/>
  <c r="S43" i="1" s="1"/>
  <c r="T43" i="1" a="1"/>
  <c r="T43" i="1" s="1"/>
  <c r="U43" i="1" a="1"/>
  <c r="U43" i="1" s="1"/>
  <c r="V43" i="1" a="1"/>
  <c r="V43" i="1" s="1"/>
  <c r="W43" i="1" a="1"/>
  <c r="W43" i="1" s="1"/>
  <c r="X43" i="1" a="1"/>
  <c r="X43" i="1" s="1"/>
  <c r="Y43" i="1" a="1"/>
  <c r="Y43" i="1" s="1"/>
  <c r="Z43" i="1" a="1"/>
  <c r="Z43" i="1" s="1"/>
  <c r="AA43" i="1" a="1"/>
  <c r="AA43" i="1" s="1"/>
  <c r="AB43" i="1" a="1"/>
  <c r="AB43" i="1" s="1"/>
  <c r="AC43" i="1" a="1"/>
  <c r="AC43" i="1" s="1"/>
  <c r="AD43" i="1" a="1"/>
  <c r="AD43" i="1" s="1"/>
  <c r="AE43" i="1" a="1"/>
  <c r="AE43" i="1" s="1"/>
  <c r="AE46" i="1"/>
  <c r="AE47" i="1"/>
  <c r="AE49" i="1"/>
  <c r="AE50" i="1"/>
  <c r="AE51" i="1"/>
  <c r="AE52" i="1"/>
  <c r="AE53" i="1"/>
  <c r="AE54" i="1"/>
  <c r="AE55" i="1"/>
  <c r="AE56" i="1"/>
  <c r="AE57" i="1"/>
  <c r="S58" i="1" a="1"/>
  <c r="S58" i="1" s="1"/>
  <c r="T58" i="1" a="1"/>
  <c r="T58" i="1" s="1"/>
  <c r="U58" i="1" a="1"/>
  <c r="U58" i="1" s="1"/>
  <c r="V58" i="1" a="1"/>
  <c r="V58" i="1" s="1"/>
  <c r="W58" i="1" a="1"/>
  <c r="W58" i="1" s="1"/>
  <c r="X58" i="1" a="1"/>
  <c r="X58" i="1" s="1"/>
  <c r="Y58" i="1" a="1"/>
  <c r="Y58" i="1" s="1"/>
  <c r="Z58" i="1" a="1"/>
  <c r="Z58" i="1" s="1"/>
  <c r="AA58" i="1" a="1"/>
  <c r="AA58" i="1" s="1"/>
  <c r="AB58" i="1" a="1"/>
  <c r="AB58" i="1" s="1"/>
  <c r="AC58" i="1" a="1"/>
  <c r="AC58" i="1" s="1"/>
  <c r="AD58" i="1" a="1"/>
  <c r="AD58" i="1" s="1"/>
  <c r="AE58" i="1" a="1"/>
  <c r="AE58" i="1" s="1"/>
  <c r="F58" i="1" a="1"/>
  <c r="F58" i="1" s="1"/>
  <c r="G58" i="1" a="1"/>
  <c r="G58" i="1" s="1"/>
  <c r="H58" i="1" a="1"/>
  <c r="H58" i="1" s="1"/>
  <c r="I58" i="1" a="1"/>
  <c r="I58" i="1" s="1"/>
  <c r="J58" i="1" a="1"/>
  <c r="J58" i="1" s="1"/>
  <c r="K58" i="1" a="1"/>
  <c r="K58" i="1" s="1"/>
  <c r="L58" i="1" a="1"/>
  <c r="L58" i="1" s="1"/>
  <c r="M58" i="1" a="1"/>
  <c r="M58" i="1" s="1"/>
  <c r="N58" i="1" a="1"/>
  <c r="N58" i="1" s="1"/>
  <c r="O58" i="1" a="1"/>
  <c r="O58" i="1" s="1"/>
  <c r="P58" i="1" a="1"/>
  <c r="P58" i="1" s="1"/>
  <c r="E58" i="1" a="1"/>
  <c r="E58" i="1" s="1"/>
  <c r="Q57" i="1"/>
  <c r="Q56" i="1"/>
  <c r="Q55" i="1"/>
  <c r="Q54" i="1"/>
  <c r="Q53" i="1"/>
  <c r="Q52" i="1"/>
  <c r="Q51" i="1"/>
  <c r="Q50" i="1"/>
  <c r="Q49" i="1"/>
  <c r="Q47" i="1"/>
  <c r="Q46" i="1"/>
  <c r="Q58" i="1" s="1" a="1"/>
  <c r="Q58" i="1" s="1"/>
  <c r="F43" i="1" a="1"/>
  <c r="F43" i="1" s="1"/>
  <c r="G43" i="1" a="1"/>
  <c r="G43" i="1" s="1"/>
  <c r="H43" i="1" a="1"/>
  <c r="H43" i="1" s="1"/>
  <c r="I43" i="1" a="1"/>
  <c r="I43" i="1" s="1"/>
  <c r="J43" i="1" a="1"/>
  <c r="J43" i="1" s="1"/>
  <c r="K43" i="1" a="1"/>
  <c r="K43" i="1" s="1"/>
  <c r="L43" i="1" a="1"/>
  <c r="L43" i="1" s="1"/>
  <c r="M43" i="1" a="1"/>
  <c r="M43" i="1" s="1"/>
  <c r="N43" i="1" a="1"/>
  <c r="N43" i="1" s="1"/>
  <c r="O43" i="1" a="1"/>
  <c r="O43" i="1" s="1"/>
  <c r="P43" i="1" a="1"/>
  <c r="P43" i="1" s="1"/>
  <c r="E43" i="1" a="1"/>
  <c r="E43" i="1" s="1"/>
  <c r="Q34" i="1"/>
  <c r="Q35" i="1"/>
  <c r="Q36" i="1"/>
  <c r="Q37" i="1"/>
  <c r="Q38" i="1"/>
  <c r="Q39" i="1"/>
  <c r="Q27" i="1"/>
  <c r="Q42" i="1"/>
  <c r="Q24" i="1"/>
  <c r="Q31" i="1"/>
  <c r="Q32" i="1"/>
  <c r="Q11" i="1"/>
  <c r="Q12" i="1"/>
  <c r="Q13" i="1"/>
  <c r="Q14" i="1"/>
  <c r="Q15" i="1"/>
  <c r="Q16" i="1"/>
  <c r="Q17" i="1"/>
  <c r="Q18" i="1"/>
  <c r="Q19" i="1"/>
  <c r="Q20" i="1"/>
  <c r="Q10" i="1"/>
  <c r="F21" i="1" a="1"/>
  <c r="F21" i="1" s="1"/>
  <c r="G21" i="1" a="1"/>
  <c r="G21" i="1" s="1"/>
  <c r="H21" i="1" a="1"/>
  <c r="H21" i="1" s="1"/>
  <c r="I21" i="1" a="1"/>
  <c r="I21" i="1" s="1"/>
  <c r="J21" i="1" a="1"/>
  <c r="J21" i="1" s="1"/>
  <c r="K21" i="1" a="1"/>
  <c r="K21" i="1" s="1"/>
  <c r="L21" i="1" a="1"/>
  <c r="L21" i="1" s="1"/>
  <c r="M21" i="1" a="1"/>
  <c r="M21" i="1" s="1"/>
  <c r="N21" i="1" a="1"/>
  <c r="N21" i="1" s="1"/>
  <c r="O21" i="1" a="1"/>
  <c r="O21" i="1" s="1"/>
  <c r="P21" i="1" a="1"/>
  <c r="P21" i="1" s="1"/>
  <c r="Q21" i="1" a="1"/>
  <c r="Q21" i="1" s="1"/>
  <c r="E21" i="1" a="1"/>
  <c r="E21" i="1" s="1"/>
  <c r="E5" i="1" a="1"/>
  <c r="E5" i="1" s="1"/>
  <c r="S5" i="1" s="1"/>
  <c r="O7" i="1" l="1"/>
  <c r="P7" i="1"/>
  <c r="K7" i="1"/>
  <c r="K6" i="1" s="1"/>
  <c r="N7" i="1"/>
  <c r="F7" i="1"/>
  <c r="F6" i="1" s="1"/>
  <c r="H7" i="1"/>
  <c r="H6" i="1" s="1"/>
  <c r="I7" i="1"/>
  <c r="I6" i="1" s="1"/>
  <c r="J7" i="1"/>
  <c r="J6" i="1" s="1"/>
  <c r="G7" i="1"/>
  <c r="G6" i="1" s="1"/>
  <c r="M7" i="1"/>
  <c r="E7" i="1"/>
  <c r="E6" i="1" s="1"/>
  <c r="E22" i="4" a="1"/>
  <c r="E22" i="4" s="1"/>
  <c r="Y11" i="5" s="1" a="1"/>
  <c r="Y11" i="5" s="1"/>
  <c r="G13" i="5" a="1"/>
  <c r="G13" i="5" s="1"/>
  <c r="E13" i="5" a="1"/>
  <c r="E13" i="5" s="1"/>
  <c r="C14" i="5" a="1"/>
  <c r="C14" i="5" s="1"/>
  <c r="J14" i="5" s="1" a="1"/>
  <c r="J13" i="5" a="1"/>
  <c r="J13" i="5" s="1"/>
  <c r="L7" i="1"/>
  <c r="L6" i="1" s="1"/>
  <c r="E12" i="4"/>
  <c r="E10" i="4"/>
  <c r="AG5" i="1"/>
  <c r="S9" i="1"/>
  <c r="T9" i="1"/>
  <c r="U9" i="1"/>
  <c r="V9" i="1"/>
  <c r="W9" i="1"/>
  <c r="X9" i="1"/>
  <c r="Y9" i="1"/>
  <c r="Z9" i="1"/>
  <c r="AA9" i="1"/>
  <c r="AB9" i="1"/>
  <c r="AC9" i="1"/>
  <c r="AD9" i="1"/>
  <c r="AE9" i="1"/>
  <c r="S23" i="1"/>
  <c r="T23" i="1"/>
  <c r="U23" i="1"/>
  <c r="V23" i="1"/>
  <c r="W23" i="1"/>
  <c r="X23" i="1"/>
  <c r="Y23" i="1"/>
  <c r="Z23" i="1"/>
  <c r="AA23" i="1"/>
  <c r="AB23" i="1"/>
  <c r="AC23" i="1"/>
  <c r="AD23" i="1"/>
  <c r="AE23" i="1"/>
  <c r="S45" i="1"/>
  <c r="T45" i="1"/>
  <c r="U45" i="1"/>
  <c r="V45" i="1"/>
  <c r="W45" i="1"/>
  <c r="X45" i="1"/>
  <c r="Y45" i="1"/>
  <c r="Z45" i="1"/>
  <c r="AA45" i="1"/>
  <c r="AB45" i="1"/>
  <c r="AC45" i="1"/>
  <c r="AD45" i="1"/>
  <c r="AE45" i="1"/>
  <c r="CI7" i="1"/>
  <c r="CI6" i="1" s="1"/>
  <c r="CH7" i="1"/>
  <c r="CH6" i="1" s="1"/>
  <c r="CG7" i="1"/>
  <c r="CG6" i="1" s="1"/>
  <c r="CF7" i="1"/>
  <c r="CF6" i="1" s="1"/>
  <c r="CE7" i="1"/>
  <c r="CE6" i="1" s="1"/>
  <c r="CD7" i="1"/>
  <c r="CD6" i="1" s="1"/>
  <c r="CC7" i="1"/>
  <c r="CC6" i="1" s="1"/>
  <c r="CB7" i="1"/>
  <c r="CB6" i="1" s="1"/>
  <c r="CA7" i="1"/>
  <c r="CA6" i="1" s="1"/>
  <c r="BZ7" i="1"/>
  <c r="BZ6" i="1" s="1"/>
  <c r="BY7" i="1"/>
  <c r="BY6" i="1" s="1"/>
  <c r="BX7" i="1"/>
  <c r="BX6" i="1" s="1"/>
  <c r="BW7" i="1"/>
  <c r="BW6" i="1" s="1"/>
  <c r="BU7" i="1"/>
  <c r="BU6" i="1" s="1"/>
  <c r="BT7" i="1"/>
  <c r="BT6" i="1" s="1"/>
  <c r="BS7" i="1"/>
  <c r="BS6" i="1" s="1"/>
  <c r="BR7" i="1"/>
  <c r="BR6" i="1" s="1"/>
  <c r="BQ7" i="1"/>
  <c r="BQ6" i="1" s="1"/>
  <c r="BP7" i="1"/>
  <c r="BP6" i="1" s="1"/>
  <c r="BO7" i="1"/>
  <c r="BO6" i="1" s="1"/>
  <c r="BN7" i="1"/>
  <c r="BN6" i="1" s="1"/>
  <c r="BM7" i="1"/>
  <c r="BM6" i="1" s="1"/>
  <c r="BL7" i="1"/>
  <c r="BL6" i="1" s="1"/>
  <c r="BK7" i="1"/>
  <c r="BK6" i="1" s="1"/>
  <c r="BJ7" i="1"/>
  <c r="BJ6" i="1" s="1"/>
  <c r="BI7" i="1"/>
  <c r="BI6" i="1" s="1"/>
  <c r="BG7" i="1"/>
  <c r="BG6" i="1" s="1"/>
  <c r="BF7" i="1"/>
  <c r="BF6" i="1" s="1"/>
  <c r="BE7" i="1"/>
  <c r="BE6" i="1" s="1"/>
  <c r="BD7" i="1"/>
  <c r="BD6" i="1" s="1"/>
  <c r="BC7" i="1"/>
  <c r="BC6" i="1" s="1"/>
  <c r="BB7" i="1"/>
  <c r="BB6" i="1" s="1"/>
  <c r="BA7" i="1"/>
  <c r="BA6" i="1" s="1"/>
  <c r="AZ7" i="1"/>
  <c r="AZ6" i="1" s="1"/>
  <c r="AY7" i="1"/>
  <c r="AY6" i="1" s="1"/>
  <c r="AX7" i="1"/>
  <c r="AX6" i="1" s="1"/>
  <c r="AW7" i="1"/>
  <c r="AW6" i="1" s="1"/>
  <c r="AV7" i="1"/>
  <c r="AV6" i="1" s="1"/>
  <c r="AU7" i="1"/>
  <c r="AU6" i="1" s="1"/>
  <c r="AS7" i="1"/>
  <c r="AS6" i="1" s="1"/>
  <c r="AR7" i="1"/>
  <c r="AQ7" i="1"/>
  <c r="AP7" i="1"/>
  <c r="AO7" i="1"/>
  <c r="AN7" i="1"/>
  <c r="AM7" i="1"/>
  <c r="AL7" i="1"/>
  <c r="AK7" i="1"/>
  <c r="AJ7" i="1"/>
  <c r="AI7" i="1"/>
  <c r="AH7" i="1"/>
  <c r="AG7" i="1"/>
  <c r="AD7" i="1"/>
  <c r="AC7" i="1"/>
  <c r="AB7" i="1"/>
  <c r="AA7" i="1"/>
  <c r="Z7" i="1"/>
  <c r="Y7" i="1"/>
  <c r="X7" i="1"/>
  <c r="W7" i="1"/>
  <c r="V7" i="1"/>
  <c r="U7" i="1"/>
  <c r="T7" i="1"/>
  <c r="S7" i="1"/>
  <c r="S6" i="1" s="1"/>
  <c r="Q45" i="1"/>
  <c r="P45" i="1"/>
  <c r="O45" i="1"/>
  <c r="N45" i="1"/>
  <c r="M45" i="1"/>
  <c r="L45" i="1"/>
  <c r="K45" i="1"/>
  <c r="J45" i="1"/>
  <c r="I45" i="1"/>
  <c r="H45" i="1"/>
  <c r="G45" i="1"/>
  <c r="F45" i="1"/>
  <c r="E45" i="1"/>
  <c r="E23" i="1"/>
  <c r="F23" i="1"/>
  <c r="G23" i="1"/>
  <c r="H23" i="1"/>
  <c r="I23" i="1"/>
  <c r="J23" i="1"/>
  <c r="K23" i="1"/>
  <c r="L23" i="1"/>
  <c r="M23" i="1"/>
  <c r="N23" i="1"/>
  <c r="O23" i="1"/>
  <c r="P23" i="1"/>
  <c r="Q23" i="1"/>
  <c r="Q9" i="1"/>
  <c r="P9" i="1"/>
  <c r="O9" i="1"/>
  <c r="N9" i="1"/>
  <c r="M9" i="1"/>
  <c r="L9" i="1"/>
  <c r="K9" i="1"/>
  <c r="J9" i="1"/>
  <c r="I9" i="1"/>
  <c r="H9" i="1"/>
  <c r="G9" i="1"/>
  <c r="F9" i="1"/>
  <c r="E9" i="1"/>
  <c r="Q43" i="1" a="1"/>
  <c r="Q43" i="1" s="1"/>
  <c r="Q7" i="1" s="1"/>
  <c r="Q6" i="1" s="1"/>
  <c r="D8" i="3" l="1"/>
  <c r="P6" i="1"/>
  <c r="O6" i="1"/>
  <c r="N6" i="1"/>
  <c r="AD6" i="1"/>
  <c r="AC6" i="1"/>
  <c r="AB6" i="1"/>
  <c r="AA6" i="1"/>
  <c r="Z6" i="1"/>
  <c r="Y6" i="1"/>
  <c r="X6" i="1"/>
  <c r="AE13" i="1" s="1"/>
  <c r="AE21" i="1" s="1" a="1"/>
  <c r="AE21" i="1" s="1"/>
  <c r="AE7" i="1" s="1"/>
  <c r="AE6" i="1" s="1"/>
  <c r="W6" i="1"/>
  <c r="V6" i="1"/>
  <c r="U6" i="1"/>
  <c r="T6" i="1"/>
  <c r="AD13" i="5"/>
  <c r="AC13" i="5"/>
  <c r="Z13" i="5"/>
  <c r="AB13" i="5"/>
  <c r="AA13" i="5"/>
  <c r="H14" i="5"/>
  <c r="G14" i="5" a="1"/>
  <c r="G14" i="5" s="1"/>
  <c r="L13" i="5" a="1"/>
  <c r="L13" i="5" s="1"/>
  <c r="F13" i="5"/>
  <c r="D13" i="5"/>
  <c r="I13" i="5" s="1" a="1"/>
  <c r="I13" i="5" s="1"/>
  <c r="K13" i="5" a="1"/>
  <c r="K13" i="5" s="1"/>
  <c r="M6" i="1"/>
  <c r="E16" i="4"/>
  <c r="E14" i="5" a="1"/>
  <c r="E14" i="5" s="1"/>
  <c r="C15" i="5" a="1"/>
  <c r="C15" i="5" s="1"/>
  <c r="J14" i="5"/>
  <c r="AU5" i="1"/>
  <c r="AG9" i="1"/>
  <c r="AG6" i="1" s="1"/>
  <c r="AH9" i="1"/>
  <c r="AH6" i="1" s="1"/>
  <c r="AI9" i="1"/>
  <c r="AI6" i="1" s="1"/>
  <c r="AJ9" i="1"/>
  <c r="AJ6" i="1" s="1"/>
  <c r="AK9" i="1"/>
  <c r="AK6" i="1" s="1"/>
  <c r="AL9" i="1"/>
  <c r="AL6" i="1" s="1"/>
  <c r="AM9" i="1"/>
  <c r="AM6" i="1" s="1"/>
  <c r="AN9" i="1"/>
  <c r="AN6" i="1" s="1"/>
  <c r="AO9" i="1"/>
  <c r="AO6" i="1" s="1"/>
  <c r="AP9" i="1"/>
  <c r="AP6" i="1" s="1"/>
  <c r="AQ9" i="1"/>
  <c r="AQ6" i="1" s="1"/>
  <c r="AR9" i="1"/>
  <c r="AR6" i="1" s="1"/>
  <c r="AS9" i="1"/>
  <c r="AG23" i="1"/>
  <c r="AH23" i="1"/>
  <c r="AI23" i="1"/>
  <c r="AJ23" i="1"/>
  <c r="AK23" i="1"/>
  <c r="AL23" i="1"/>
  <c r="AM23" i="1"/>
  <c r="AN23" i="1"/>
  <c r="AO23" i="1"/>
  <c r="AP23" i="1"/>
  <c r="AQ23" i="1"/>
  <c r="AR23" i="1"/>
  <c r="AS23" i="1"/>
  <c r="AG45" i="1"/>
  <c r="AH45" i="1"/>
  <c r="AI45" i="1"/>
  <c r="AJ45" i="1"/>
  <c r="AK45" i="1"/>
  <c r="AL45" i="1"/>
  <c r="AM45" i="1"/>
  <c r="AN45" i="1"/>
  <c r="AO45" i="1"/>
  <c r="AP45" i="1"/>
  <c r="AQ45" i="1"/>
  <c r="AR45" i="1"/>
  <c r="AS45" i="1"/>
  <c r="H15" i="5" l="1"/>
  <c r="G15" i="5" a="1"/>
  <c r="G15" i="5" s="1"/>
  <c r="S13" i="5"/>
  <c r="W13" i="5"/>
  <c r="V13" i="5"/>
  <c r="U13" i="5"/>
  <c r="T13" i="5"/>
  <c r="P13" i="5"/>
  <c r="M13" i="5" a="1"/>
  <c r="M13" i="5" s="1"/>
  <c r="Q13" i="5"/>
  <c r="R13" i="5"/>
  <c r="O13" i="5"/>
  <c r="N13" i="5" a="1"/>
  <c r="N13" i="5" s="1"/>
  <c r="D14" i="5"/>
  <c r="I14" i="5" s="1" a="1"/>
  <c r="I14" i="5" s="1"/>
  <c r="K14" i="5" s="1" a="1"/>
  <c r="K14" i="5" s="1"/>
  <c r="F14" i="5"/>
  <c r="L14" i="5" a="1"/>
  <c r="L14" i="5" s="1"/>
  <c r="J15" i="5" a="1"/>
  <c r="J15" i="5" s="1"/>
  <c r="E15" i="5" a="1"/>
  <c r="E15" i="5" s="1"/>
  <c r="C16" i="5" a="1"/>
  <c r="C16" i="5" s="1"/>
  <c r="BI5" i="1"/>
  <c r="AU9" i="1"/>
  <c r="AV9" i="1"/>
  <c r="AW9" i="1"/>
  <c r="AX9" i="1"/>
  <c r="AY9" i="1"/>
  <c r="AZ9" i="1"/>
  <c r="BA9" i="1"/>
  <c r="BB9" i="1"/>
  <c r="BC9" i="1"/>
  <c r="BD9" i="1"/>
  <c r="BE9" i="1"/>
  <c r="BF9" i="1"/>
  <c r="BG9" i="1"/>
  <c r="AU23" i="1"/>
  <c r="AV23" i="1"/>
  <c r="AW23" i="1"/>
  <c r="AX23" i="1"/>
  <c r="AY23" i="1"/>
  <c r="AZ23" i="1"/>
  <c r="BA23" i="1"/>
  <c r="BB23" i="1"/>
  <c r="BC23" i="1"/>
  <c r="BD23" i="1"/>
  <c r="BE23" i="1"/>
  <c r="BF23" i="1"/>
  <c r="BG23" i="1"/>
  <c r="AU45" i="1"/>
  <c r="AV45" i="1"/>
  <c r="AW45" i="1"/>
  <c r="AX45" i="1"/>
  <c r="AY45" i="1"/>
  <c r="AZ45" i="1"/>
  <c r="BA45" i="1"/>
  <c r="BB45" i="1"/>
  <c r="BC45" i="1"/>
  <c r="BD45" i="1"/>
  <c r="BE45" i="1"/>
  <c r="BF45" i="1"/>
  <c r="BG45" i="1"/>
  <c r="H16" i="5" l="1"/>
  <c r="G16" i="5" a="1"/>
  <c r="G16" i="5" s="1"/>
  <c r="M14" i="5" a="1"/>
  <c r="M14" i="5" s="1"/>
  <c r="F15" i="5"/>
  <c r="D15" i="5"/>
  <c r="I15" i="5" s="1" a="1"/>
  <c r="I15" i="5" s="1"/>
  <c r="K15" i="5" s="1" a="1"/>
  <c r="K15" i="5" s="1"/>
  <c r="L15" i="5" a="1"/>
  <c r="L15" i="5" s="1"/>
  <c r="J16" i="5" a="1"/>
  <c r="J16" i="5" s="1"/>
  <c r="E16" i="5" a="1"/>
  <c r="E16" i="5" s="1"/>
  <c r="C17" i="5" a="1"/>
  <c r="C17" i="5" s="1"/>
  <c r="BW5" i="1"/>
  <c r="BI9" i="1"/>
  <c r="BJ9" i="1"/>
  <c r="BK9" i="1"/>
  <c r="BL9" i="1"/>
  <c r="BM9" i="1"/>
  <c r="BN9" i="1"/>
  <c r="BO9" i="1"/>
  <c r="BP9" i="1"/>
  <c r="BQ9" i="1"/>
  <c r="BR9" i="1"/>
  <c r="BS9" i="1"/>
  <c r="BT9" i="1"/>
  <c r="BU9" i="1"/>
  <c r="BI23" i="1"/>
  <c r="BJ23" i="1"/>
  <c r="BK23" i="1"/>
  <c r="BL23" i="1"/>
  <c r="BM23" i="1"/>
  <c r="BN23" i="1"/>
  <c r="BO23" i="1"/>
  <c r="BP23" i="1"/>
  <c r="BQ23" i="1"/>
  <c r="BR23" i="1"/>
  <c r="BS23" i="1"/>
  <c r="BT23" i="1"/>
  <c r="BU23" i="1"/>
  <c r="BI45" i="1"/>
  <c r="BJ45" i="1"/>
  <c r="BK45" i="1"/>
  <c r="BL45" i="1"/>
  <c r="BM45" i="1"/>
  <c r="BN45" i="1"/>
  <c r="BO45" i="1"/>
  <c r="BP45" i="1"/>
  <c r="BQ45" i="1"/>
  <c r="BR45" i="1"/>
  <c r="BS45" i="1"/>
  <c r="BT45" i="1"/>
  <c r="BU45" i="1"/>
  <c r="H17" i="5" l="1"/>
  <c r="G17" i="5" a="1"/>
  <c r="G17" i="5" s="1"/>
  <c r="V14" i="5"/>
  <c r="M15" i="5" a="1"/>
  <c r="M15" i="5" s="1"/>
  <c r="D16" i="5"/>
  <c r="I16" i="5" s="1" a="1"/>
  <c r="I16" i="5" s="1"/>
  <c r="K16" i="5" s="1" a="1"/>
  <c r="K16" i="5" s="1"/>
  <c r="F16" i="5"/>
  <c r="L16" i="5" a="1"/>
  <c r="L16" i="5" s="1"/>
  <c r="J17" i="5" a="1"/>
  <c r="J17" i="5" s="1"/>
  <c r="E17" i="5" a="1"/>
  <c r="E17" i="5" s="1"/>
  <c r="C18" i="5" a="1"/>
  <c r="C18" i="5" s="1"/>
  <c r="BW9" i="1"/>
  <c r="BX9" i="1"/>
  <c r="BY9" i="1"/>
  <c r="BZ9" i="1"/>
  <c r="CA9" i="1"/>
  <c r="CB9" i="1"/>
  <c r="CC9" i="1"/>
  <c r="CD9" i="1"/>
  <c r="CE9" i="1"/>
  <c r="CF9" i="1"/>
  <c r="CG9" i="1"/>
  <c r="CH9" i="1"/>
  <c r="CI9" i="1"/>
  <c r="BW23" i="1"/>
  <c r="BX23" i="1"/>
  <c r="BY23" i="1"/>
  <c r="BZ23" i="1"/>
  <c r="CA23" i="1"/>
  <c r="CB23" i="1"/>
  <c r="CC23" i="1"/>
  <c r="CD23" i="1"/>
  <c r="CE23" i="1"/>
  <c r="CF23" i="1"/>
  <c r="CG23" i="1"/>
  <c r="CH23" i="1"/>
  <c r="CI23" i="1"/>
  <c r="BW45" i="1"/>
  <c r="BX45" i="1"/>
  <c r="BY45" i="1"/>
  <c r="BZ45" i="1"/>
  <c r="CA45" i="1"/>
  <c r="CB45" i="1"/>
  <c r="CC45" i="1"/>
  <c r="CD45" i="1"/>
  <c r="CE45" i="1"/>
  <c r="CF45" i="1"/>
  <c r="CG45" i="1"/>
  <c r="CH45" i="1"/>
  <c r="CI45" i="1"/>
  <c r="N14" i="5" l="1" a="1"/>
  <c r="N14" i="5" s="1"/>
  <c r="N15" i="5" a="1"/>
  <c r="N15" i="5" s="1"/>
  <c r="H18" i="5"/>
  <c r="G18" i="5" a="1"/>
  <c r="G18" i="5" s="1"/>
  <c r="V15" i="5"/>
  <c r="M16" i="5" a="1"/>
  <c r="M16" i="5" s="1"/>
  <c r="N16" i="5" a="1"/>
  <c r="N16" i="5" s="1"/>
  <c r="D17" i="5"/>
  <c r="I17" i="5" s="1" a="1"/>
  <c r="I17" i="5" s="1"/>
  <c r="K17" i="5" s="1" a="1"/>
  <c r="K17" i="5" s="1"/>
  <c r="F17" i="5"/>
  <c r="L17" i="5" a="1"/>
  <c r="L17" i="5" s="1"/>
  <c r="J18" i="5" a="1"/>
  <c r="J18" i="5" s="1"/>
  <c r="E18" i="5" a="1"/>
  <c r="E18" i="5" s="1"/>
  <c r="C19" i="5" a="1"/>
  <c r="C19" i="5" s="1"/>
  <c r="T14" i="5" l="1"/>
  <c r="O14" i="5"/>
  <c r="Q14" i="5"/>
  <c r="Q15" i="5"/>
  <c r="T15" i="5"/>
  <c r="O15" i="5"/>
  <c r="Q16" i="5"/>
  <c r="R16" i="5" s="1"/>
  <c r="H19" i="5"/>
  <c r="G19" i="5" a="1"/>
  <c r="G19" i="5" s="1"/>
  <c r="V16" i="5"/>
  <c r="T16" i="5"/>
  <c r="M17" i="5" a="1"/>
  <c r="M17" i="5" s="1"/>
  <c r="N17" i="5" a="1"/>
  <c r="N17" i="5" s="1"/>
  <c r="O16" i="5"/>
  <c r="P16" i="5" s="1"/>
  <c r="S16" i="5" s="1"/>
  <c r="L18" i="5" a="1"/>
  <c r="L18" i="5" s="1"/>
  <c r="F18" i="5"/>
  <c r="D18" i="5"/>
  <c r="I18" i="5" s="1" a="1"/>
  <c r="I18" i="5" s="1"/>
  <c r="K18" i="5" s="1" a="1"/>
  <c r="K18" i="5" s="1"/>
  <c r="J19" i="5" a="1"/>
  <c r="J19" i="5" s="1"/>
  <c r="E19" i="5" a="1"/>
  <c r="E19" i="5" s="1"/>
  <c r="C20" i="5" a="1"/>
  <c r="C20" i="5" s="1"/>
  <c r="R14" i="5" l="1"/>
  <c r="R15" i="5"/>
  <c r="P14" i="5"/>
  <c r="S14" i="5" s="1"/>
  <c r="P15" i="5"/>
  <c r="S15" i="5" s="1"/>
  <c r="O17" i="5"/>
  <c r="P17" i="5" s="1"/>
  <c r="S17" i="5" s="1"/>
  <c r="V17" i="5"/>
  <c r="T17" i="5"/>
  <c r="Q17" i="5"/>
  <c r="R17" i="5" s="1"/>
  <c r="H20" i="5"/>
  <c r="G20" i="5" a="1"/>
  <c r="G20" i="5" s="1"/>
  <c r="M18" i="5" a="1"/>
  <c r="M18" i="5" s="1"/>
  <c r="N18" i="5" a="1"/>
  <c r="N18" i="5" s="1"/>
  <c r="L19" i="5" a="1"/>
  <c r="L19" i="5" s="1"/>
  <c r="D19" i="5"/>
  <c r="I19" i="5" s="1" a="1"/>
  <c r="I19" i="5" s="1"/>
  <c r="K19" i="5" s="1" a="1"/>
  <c r="K19" i="5" s="1"/>
  <c r="F19" i="5"/>
  <c r="X19" i="5" s="1"/>
  <c r="J20" i="5" a="1"/>
  <c r="J20" i="5" s="1"/>
  <c r="E20" i="5" a="1"/>
  <c r="E20" i="5" s="1"/>
  <c r="C21" i="5" a="1"/>
  <c r="C21" i="5" s="1"/>
  <c r="V18" i="5" l="1"/>
  <c r="O18" i="5"/>
  <c r="P18" i="5" s="1"/>
  <c r="S18" i="5" s="1"/>
  <c r="Q18" i="5"/>
  <c r="R18" i="5" s="1"/>
  <c r="T18" i="5"/>
  <c r="X13" i="5"/>
  <c r="H21" i="5"/>
  <c r="G21" i="5" a="1"/>
  <c r="G21" i="5" s="1"/>
  <c r="S19" i="5"/>
  <c r="W19" i="5"/>
  <c r="V19" i="5"/>
  <c r="U19" i="5"/>
  <c r="T19" i="5"/>
  <c r="M19" i="5" a="1"/>
  <c r="M19" i="5" s="1"/>
  <c r="N19" i="5" a="1"/>
  <c r="N19" i="5" s="1"/>
  <c r="O19" i="5"/>
  <c r="P19" i="5"/>
  <c r="Q19" i="5"/>
  <c r="R19" i="5"/>
  <c r="F20" i="5"/>
  <c r="L20" i="5" a="1"/>
  <c r="L20" i="5" s="1"/>
  <c r="D20" i="5"/>
  <c r="I20" i="5" s="1" a="1"/>
  <c r="I20" i="5" s="1"/>
  <c r="K20" i="5" s="1" a="1"/>
  <c r="K20" i="5" s="1"/>
  <c r="J21" i="5" a="1"/>
  <c r="J21" i="5" s="1"/>
  <c r="E21" i="5" a="1"/>
  <c r="E21" i="5" s="1"/>
  <c r="C22" i="5" a="1"/>
  <c r="C22" i="5" s="1"/>
  <c r="U18" i="5" l="1"/>
  <c r="U17" i="5"/>
  <c r="U15" i="5"/>
  <c r="U14" i="5"/>
  <c r="U16" i="5"/>
  <c r="Y13" i="5"/>
  <c r="H22" i="5"/>
  <c r="G22" i="5" a="1"/>
  <c r="G22" i="5" s="1"/>
  <c r="M20" i="5" a="1"/>
  <c r="M20" i="5" s="1"/>
  <c r="L21" i="5" a="1"/>
  <c r="L21" i="5" s="1"/>
  <c r="D21" i="5"/>
  <c r="I21" i="5" s="1" a="1"/>
  <c r="I21" i="5" s="1"/>
  <c r="K21" i="5" s="1" a="1"/>
  <c r="K21" i="5" s="1"/>
  <c r="F21" i="5"/>
  <c r="J22" i="5" a="1"/>
  <c r="J22" i="5" s="1"/>
  <c r="E22" i="5" a="1"/>
  <c r="E22" i="5" s="1"/>
  <c r="C23" i="5" a="1"/>
  <c r="C23" i="5" s="1"/>
  <c r="W17" i="5" l="1"/>
  <c r="X17" i="5" s="1"/>
  <c r="W16" i="5"/>
  <c r="X16" i="5" s="1"/>
  <c r="W18" i="5"/>
  <c r="X18" i="5" s="1"/>
  <c r="W14" i="5"/>
  <c r="X14" i="5" s="1"/>
  <c r="W15" i="5"/>
  <c r="X15" i="5" s="1"/>
  <c r="H23" i="5"/>
  <c r="G23" i="5" a="1"/>
  <c r="G23" i="5" s="1"/>
  <c r="V20" i="5"/>
  <c r="M21" i="5" a="1"/>
  <c r="M21" i="5" s="1"/>
  <c r="L22" i="5" a="1"/>
  <c r="L22" i="5" s="1"/>
  <c r="F22" i="5"/>
  <c r="D22" i="5"/>
  <c r="I22" i="5" s="1" a="1"/>
  <c r="I22" i="5" s="1"/>
  <c r="K22" i="5" s="1" a="1"/>
  <c r="K22" i="5" s="1"/>
  <c r="J23" i="5" a="1"/>
  <c r="J23" i="5" s="1"/>
  <c r="E23" i="5" a="1"/>
  <c r="E23" i="5" s="1"/>
  <c r="C24" i="5" a="1"/>
  <c r="C24" i="5" s="1"/>
  <c r="AA19" i="5" l="1"/>
  <c r="Z19" i="5"/>
  <c r="AA18" i="5"/>
  <c r="Y19" i="5"/>
  <c r="Y18" i="5"/>
  <c r="Z18" i="5"/>
  <c r="H24" i="5"/>
  <c r="G24" i="5" a="1"/>
  <c r="G24" i="5" s="1"/>
  <c r="V21" i="5"/>
  <c r="M22" i="5" a="1"/>
  <c r="M22" i="5" s="1"/>
  <c r="V22" i="5" s="1"/>
  <c r="L23" i="5" a="1"/>
  <c r="L23" i="5" s="1"/>
  <c r="D23" i="5"/>
  <c r="I23" i="5" s="1" a="1"/>
  <c r="I23" i="5" s="1"/>
  <c r="K23" i="5" s="1" a="1"/>
  <c r="K23" i="5" s="1"/>
  <c r="F23" i="5"/>
  <c r="J24" i="5" a="1"/>
  <c r="J24" i="5" s="1"/>
  <c r="E24" i="5" a="1"/>
  <c r="E24" i="5" s="1"/>
  <c r="C25" i="5" a="1"/>
  <c r="C25" i="5" s="1"/>
  <c r="AB18" i="5" l="1"/>
  <c r="AC19" i="5"/>
  <c r="AB19" i="5"/>
  <c r="AD19" i="5"/>
  <c r="AC18" i="5"/>
  <c r="AD18" i="5"/>
  <c r="H25" i="5"/>
  <c r="G25" i="5" a="1"/>
  <c r="G25" i="5" s="1"/>
  <c r="M23" i="5" a="1"/>
  <c r="M23" i="5" s="1"/>
  <c r="L24" i="5" a="1"/>
  <c r="L24" i="5" s="1"/>
  <c r="D24" i="5"/>
  <c r="I24" i="5" s="1" a="1"/>
  <c r="I24" i="5" s="1"/>
  <c r="K24" i="5" s="1" a="1"/>
  <c r="K24" i="5" s="1"/>
  <c r="F24" i="5"/>
  <c r="J25" i="5" a="1"/>
  <c r="J25" i="5" s="1"/>
  <c r="E25" i="5" a="1"/>
  <c r="E25" i="5" s="1"/>
  <c r="C26" i="5" a="1"/>
  <c r="C26" i="5" s="1"/>
  <c r="H26" i="5" l="1"/>
  <c r="G26" i="5" a="1"/>
  <c r="G26" i="5" s="1"/>
  <c r="V23" i="5"/>
  <c r="M24" i="5" a="1"/>
  <c r="M24" i="5" s="1"/>
  <c r="L25" i="5" a="1"/>
  <c r="L25" i="5" s="1"/>
  <c r="F25" i="5"/>
  <c r="D25" i="5"/>
  <c r="I25" i="5" s="1" a="1"/>
  <c r="I25" i="5" s="1"/>
  <c r="K25" i="5" s="1" a="1"/>
  <c r="K25" i="5" s="1"/>
  <c r="J26" i="5" a="1"/>
  <c r="J26" i="5" s="1"/>
  <c r="E26" i="5" a="1"/>
  <c r="E26" i="5" s="1"/>
  <c r="C27" i="5" a="1"/>
  <c r="C27" i="5" s="1"/>
  <c r="H27" i="5" l="1"/>
  <c r="G27" i="5" a="1"/>
  <c r="G27" i="5" s="1"/>
  <c r="V24" i="5"/>
  <c r="M25" i="5" a="1"/>
  <c r="M25" i="5" s="1"/>
  <c r="L26" i="5" a="1"/>
  <c r="L26" i="5" s="1"/>
  <c r="D26" i="5"/>
  <c r="I26" i="5" s="1" a="1"/>
  <c r="I26" i="5" s="1"/>
  <c r="K26" i="5" s="1" a="1"/>
  <c r="K26" i="5" s="1"/>
  <c r="F26" i="5"/>
  <c r="J27" i="5" a="1"/>
  <c r="J27" i="5" s="1"/>
  <c r="E27" i="5" a="1"/>
  <c r="E27" i="5" s="1"/>
  <c r="C28" i="5" a="1"/>
  <c r="C28" i="5" s="1"/>
  <c r="H28" i="5" l="1"/>
  <c r="G28" i="5" a="1"/>
  <c r="G28" i="5" s="1"/>
  <c r="V25" i="5"/>
  <c r="M26" i="5" a="1"/>
  <c r="M26" i="5" s="1"/>
  <c r="V26" i="5" s="1"/>
  <c r="L27" i="5" a="1"/>
  <c r="L27" i="5" s="1"/>
  <c r="F27" i="5"/>
  <c r="D27" i="5"/>
  <c r="I27" i="5" s="1" a="1"/>
  <c r="I27" i="5" s="1"/>
  <c r="K27" i="5" s="1" a="1"/>
  <c r="K27" i="5" s="1"/>
  <c r="J28" i="5" a="1"/>
  <c r="J28" i="5" s="1"/>
  <c r="E28" i="5" a="1"/>
  <c r="E28" i="5" s="1"/>
  <c r="C29" i="5" a="1"/>
  <c r="C29" i="5" s="1"/>
  <c r="H29" i="5" l="1"/>
  <c r="G29" i="5" a="1"/>
  <c r="G29" i="5" s="1"/>
  <c r="M27" i="5" a="1"/>
  <c r="M27" i="5" s="1"/>
  <c r="L28" i="5" a="1"/>
  <c r="L28" i="5" s="1"/>
  <c r="D28" i="5"/>
  <c r="I28" i="5" s="1" a="1"/>
  <c r="I28" i="5" s="1"/>
  <c r="K28" i="5" s="1" a="1"/>
  <c r="K28" i="5" s="1"/>
  <c r="F28" i="5"/>
  <c r="J29" i="5" a="1"/>
  <c r="J29" i="5" s="1"/>
  <c r="E29" i="5" a="1"/>
  <c r="E29" i="5" s="1"/>
  <c r="C30" i="5" a="1"/>
  <c r="C30" i="5" s="1"/>
  <c r="H30" i="5" l="1"/>
  <c r="G30" i="5" a="1"/>
  <c r="G30" i="5" s="1"/>
  <c r="V27" i="5"/>
  <c r="M28" i="5" a="1"/>
  <c r="M28" i="5" s="1"/>
  <c r="L29" i="5" a="1"/>
  <c r="L29" i="5" s="1"/>
  <c r="D29" i="5"/>
  <c r="I29" i="5" s="1" a="1"/>
  <c r="I29" i="5" s="1"/>
  <c r="K29" i="5" s="1" a="1"/>
  <c r="K29" i="5" s="1"/>
  <c r="F29" i="5"/>
  <c r="J30" i="5" a="1"/>
  <c r="J30" i="5" s="1"/>
  <c r="E30" i="5" a="1"/>
  <c r="E30" i="5" s="1"/>
  <c r="C31" i="5" a="1"/>
  <c r="C31" i="5" s="1"/>
  <c r="H31" i="5" l="1"/>
  <c r="G31" i="5" a="1"/>
  <c r="G31" i="5" s="1"/>
  <c r="V28" i="5"/>
  <c r="M29" i="5" a="1"/>
  <c r="M29" i="5" s="1"/>
  <c r="L30" i="5" a="1"/>
  <c r="L30" i="5" s="1"/>
  <c r="D30" i="5"/>
  <c r="I30" i="5" s="1" a="1"/>
  <c r="I30" i="5" s="1"/>
  <c r="K30" i="5" s="1" a="1"/>
  <c r="K30" i="5" s="1"/>
  <c r="F30" i="5"/>
  <c r="J31" i="5" a="1"/>
  <c r="J31" i="5" s="1"/>
  <c r="E31" i="5" a="1"/>
  <c r="E31" i="5" s="1"/>
  <c r="C32" i="5" a="1"/>
  <c r="C32" i="5" s="1"/>
  <c r="H32" i="5" l="1"/>
  <c r="G32" i="5" a="1"/>
  <c r="G32" i="5" s="1"/>
  <c r="V29" i="5"/>
  <c r="M30" i="5" a="1"/>
  <c r="M30" i="5" s="1"/>
  <c r="V30" i="5" s="1"/>
  <c r="L31" i="5" a="1"/>
  <c r="L31" i="5" s="1"/>
  <c r="F31" i="5"/>
  <c r="D31" i="5"/>
  <c r="I31" i="5" s="1" a="1"/>
  <c r="I31" i="5" s="1"/>
  <c r="K31" i="5" s="1" a="1"/>
  <c r="K31" i="5" s="1"/>
  <c r="J32" i="5" a="1"/>
  <c r="J32" i="5" s="1"/>
  <c r="E32" i="5" a="1"/>
  <c r="E32" i="5" s="1"/>
  <c r="C33" i="5" a="1"/>
  <c r="C33" i="5" s="1"/>
  <c r="H33" i="5" l="1"/>
  <c r="G33" i="5" a="1"/>
  <c r="G33" i="5" s="1"/>
  <c r="M31" i="5" a="1"/>
  <c r="M31" i="5" s="1"/>
  <c r="V31" i="5" s="1"/>
  <c r="L32" i="5" a="1"/>
  <c r="L32" i="5" s="1"/>
  <c r="D32" i="5"/>
  <c r="I32" i="5" s="1" a="1"/>
  <c r="I32" i="5" s="1"/>
  <c r="K32" i="5" s="1" a="1"/>
  <c r="K32" i="5" s="1"/>
  <c r="F32" i="5"/>
  <c r="J33" i="5" a="1"/>
  <c r="J33" i="5" s="1"/>
  <c r="E33" i="5" a="1"/>
  <c r="E33" i="5" s="1"/>
  <c r="C34" i="5" a="1"/>
  <c r="C34" i="5" s="1"/>
  <c r="H34" i="5" l="1"/>
  <c r="G34" i="5" a="1"/>
  <c r="G34" i="5" s="1"/>
  <c r="M32" i="5" a="1"/>
  <c r="M32" i="5" s="1"/>
  <c r="V32" i="5" s="1"/>
  <c r="F33" i="5"/>
  <c r="L33" i="5" a="1"/>
  <c r="L33" i="5" s="1"/>
  <c r="D33" i="5"/>
  <c r="I33" i="5" s="1" a="1"/>
  <c r="I33" i="5" s="1"/>
  <c r="K33" i="5" s="1" a="1"/>
  <c r="K33" i="5" s="1"/>
  <c r="J34" i="5" a="1"/>
  <c r="J34" i="5" s="1"/>
  <c r="E34" i="5" a="1"/>
  <c r="E34" i="5" s="1"/>
  <c r="C35" i="5" a="1"/>
  <c r="C35" i="5" s="1"/>
  <c r="H35" i="5" l="1"/>
  <c r="G35" i="5" a="1"/>
  <c r="G35" i="5" s="1"/>
  <c r="M33" i="5" a="1"/>
  <c r="M33" i="5" s="1"/>
  <c r="L34" i="5" a="1"/>
  <c r="L34" i="5" s="1"/>
  <c r="F34" i="5"/>
  <c r="D34" i="5"/>
  <c r="I34" i="5" s="1" a="1"/>
  <c r="I34" i="5" s="1"/>
  <c r="K34" i="5" s="1" a="1"/>
  <c r="K34" i="5" s="1"/>
  <c r="J35" i="5" a="1"/>
  <c r="J35" i="5" s="1"/>
  <c r="E35" i="5" a="1"/>
  <c r="E35" i="5" s="1"/>
  <c r="C36" i="5" a="1"/>
  <c r="C36" i="5" s="1"/>
  <c r="V33" i="5" l="1"/>
  <c r="H36" i="5"/>
  <c r="G36" i="5" a="1"/>
  <c r="G36" i="5" s="1"/>
  <c r="M34" i="5" a="1"/>
  <c r="M34" i="5" s="1"/>
  <c r="D35" i="5"/>
  <c r="I35" i="5" s="1" a="1"/>
  <c r="I35" i="5" s="1"/>
  <c r="K35" i="5" s="1" a="1"/>
  <c r="K35" i="5" s="1"/>
  <c r="F35" i="5"/>
  <c r="L35" i="5" a="1"/>
  <c r="L35" i="5" s="1"/>
  <c r="J36" i="5" a="1"/>
  <c r="J36" i="5" s="1"/>
  <c r="E36" i="5" a="1"/>
  <c r="E36" i="5" s="1"/>
  <c r="C37" i="5" a="1"/>
  <c r="C37" i="5" s="1"/>
  <c r="H37" i="5" l="1"/>
  <c r="G37" i="5" a="1"/>
  <c r="G37" i="5" s="1"/>
  <c r="V34" i="5"/>
  <c r="M35" i="5" a="1"/>
  <c r="M35" i="5" s="1"/>
  <c r="L36" i="5" a="1"/>
  <c r="L36" i="5" s="1"/>
  <c r="D36" i="5"/>
  <c r="I36" i="5" s="1" a="1"/>
  <c r="I36" i="5" s="1"/>
  <c r="K36" i="5" s="1" a="1"/>
  <c r="K36" i="5" s="1"/>
  <c r="F36" i="5"/>
  <c r="J37" i="5" a="1"/>
  <c r="J37" i="5" s="1"/>
  <c r="E37" i="5" a="1"/>
  <c r="E37" i="5" s="1"/>
  <c r="C38" i="5" a="1"/>
  <c r="C38" i="5" s="1"/>
  <c r="N26" i="5" l="1" a="1"/>
  <c r="N26" i="5" s="1"/>
  <c r="V35" i="5"/>
  <c r="H38" i="5"/>
  <c r="G38" i="5" a="1"/>
  <c r="G38" i="5" s="1"/>
  <c r="M36" i="5" a="1"/>
  <c r="M36" i="5" s="1"/>
  <c r="L37" i="5" a="1"/>
  <c r="L37" i="5" s="1"/>
  <c r="F37" i="5"/>
  <c r="D37" i="5"/>
  <c r="I37" i="5" s="1" a="1"/>
  <c r="I37" i="5" s="1"/>
  <c r="K37" i="5" s="1" a="1"/>
  <c r="K37" i="5" s="1"/>
  <c r="J38" i="5" a="1"/>
  <c r="J38" i="5" s="1"/>
  <c r="E38" i="5" a="1"/>
  <c r="E38" i="5" s="1"/>
  <c r="C39" i="5" a="1"/>
  <c r="C39" i="5" s="1"/>
  <c r="N33" i="5" l="1" a="1"/>
  <c r="N33" i="5" s="1"/>
  <c r="N29" i="5" a="1"/>
  <c r="N29" i="5" s="1"/>
  <c r="N28" i="5" a="1"/>
  <c r="N28" i="5" s="1"/>
  <c r="N32" i="5" a="1"/>
  <c r="N32" i="5" s="1"/>
  <c r="N34" i="5" a="1"/>
  <c r="N34" i="5" s="1"/>
  <c r="N24" i="5" a="1"/>
  <c r="N24" i="5" s="1"/>
  <c r="N31" i="5" a="1"/>
  <c r="N31" i="5" s="1"/>
  <c r="N35" i="5" a="1"/>
  <c r="N35" i="5" s="1"/>
  <c r="N36" i="5" a="1"/>
  <c r="N36" i="5" s="1"/>
  <c r="N27" i="5" a="1"/>
  <c r="N27" i="5" s="1"/>
  <c r="O27" i="5" s="1"/>
  <c r="N30" i="5" a="1"/>
  <c r="N30" i="5" s="1"/>
  <c r="O26" i="5"/>
  <c r="T26" i="5"/>
  <c r="Q26" i="5"/>
  <c r="O31" i="5"/>
  <c r="Q31" i="5"/>
  <c r="T31" i="5"/>
  <c r="T27" i="5"/>
  <c r="Q27" i="5"/>
  <c r="O35" i="5"/>
  <c r="T35" i="5"/>
  <c r="Q35" i="5"/>
  <c r="Q36" i="5"/>
  <c r="V36" i="5"/>
  <c r="O36" i="5"/>
  <c r="T36" i="5"/>
  <c r="H39" i="5"/>
  <c r="G39" i="5" a="1"/>
  <c r="G39" i="5" s="1"/>
  <c r="M37" i="5" a="1"/>
  <c r="M37" i="5" s="1"/>
  <c r="N37" i="5" a="1"/>
  <c r="N37" i="5" s="1"/>
  <c r="L38" i="5" a="1"/>
  <c r="L38" i="5" s="1"/>
  <c r="F38" i="5"/>
  <c r="D38" i="5"/>
  <c r="I38" i="5" s="1" a="1"/>
  <c r="I38" i="5" s="1"/>
  <c r="K38" i="5" s="1" a="1"/>
  <c r="K38" i="5" s="1"/>
  <c r="J39" i="5" a="1"/>
  <c r="J39" i="5" s="1"/>
  <c r="E39" i="5" a="1"/>
  <c r="E39" i="5" s="1"/>
  <c r="C40" i="5" a="1"/>
  <c r="C40" i="5" s="1"/>
  <c r="O29" i="5" l="1"/>
  <c r="T29" i="5"/>
  <c r="Q29" i="5"/>
  <c r="T33" i="5"/>
  <c r="O33" i="5"/>
  <c r="Q33" i="5"/>
  <c r="O28" i="5"/>
  <c r="T28" i="5"/>
  <c r="Q28" i="5"/>
  <c r="O32" i="5"/>
  <c r="Q32" i="5"/>
  <c r="T32" i="5"/>
  <c r="Q34" i="5"/>
  <c r="T34" i="5"/>
  <c r="O34" i="5"/>
  <c r="Q24" i="5"/>
  <c r="O24" i="5"/>
  <c r="T24" i="5"/>
  <c r="O30" i="5"/>
  <c r="T30" i="5"/>
  <c r="Q30" i="5"/>
  <c r="R30" i="5" s="1"/>
  <c r="R32" i="5"/>
  <c r="R29" i="5"/>
  <c r="R31" i="5"/>
  <c r="R27" i="5"/>
  <c r="R24" i="5"/>
  <c r="R33" i="5"/>
  <c r="P34" i="5"/>
  <c r="P26" i="5"/>
  <c r="P29" i="5"/>
  <c r="S29" i="5" s="1"/>
  <c r="P32" i="5"/>
  <c r="S32" i="5" s="1"/>
  <c r="P28" i="5"/>
  <c r="P27" i="5"/>
  <c r="S27" i="5" s="1"/>
  <c r="P30" i="5"/>
  <c r="S30" i="5" s="1"/>
  <c r="P24" i="5"/>
  <c r="S24" i="5" s="1"/>
  <c r="P33" i="5"/>
  <c r="S33" i="5" s="1"/>
  <c r="P31" i="5"/>
  <c r="S31" i="5" s="1"/>
  <c r="Q37" i="5"/>
  <c r="R37" i="5" s="1"/>
  <c r="O37" i="5"/>
  <c r="P37" i="5" s="1"/>
  <c r="S37" i="5" s="1"/>
  <c r="V37" i="5"/>
  <c r="T37" i="5"/>
  <c r="H40" i="5"/>
  <c r="G40" i="5" a="1"/>
  <c r="G40" i="5" s="1"/>
  <c r="M38" i="5" a="1"/>
  <c r="M38" i="5" s="1"/>
  <c r="F39" i="5"/>
  <c r="L39" i="5" a="1"/>
  <c r="L39" i="5" s="1"/>
  <c r="D39" i="5"/>
  <c r="I39" i="5" s="1" a="1"/>
  <c r="I39" i="5" s="1"/>
  <c r="K39" i="5" s="1" a="1"/>
  <c r="K39" i="5" s="1"/>
  <c r="J40" i="5" a="1"/>
  <c r="J40" i="5" s="1"/>
  <c r="E40" i="5" a="1"/>
  <c r="E40" i="5" s="1"/>
  <c r="C41" i="5" a="1"/>
  <c r="C41" i="5" s="1"/>
  <c r="R28" i="5" l="1"/>
  <c r="S28" i="5" s="1"/>
  <c r="R35" i="5"/>
  <c r="R26" i="5"/>
  <c r="S26" i="5" s="1"/>
  <c r="R34" i="5"/>
  <c r="S34" i="5" s="1"/>
  <c r="R36" i="5"/>
  <c r="P35" i="5"/>
  <c r="S35" i="5" s="1"/>
  <c r="P36" i="5"/>
  <c r="S36" i="5" s="1"/>
  <c r="H41" i="5"/>
  <c r="G41" i="5" a="1"/>
  <c r="G41" i="5" s="1"/>
  <c r="V38" i="5"/>
  <c r="M39" i="5" a="1"/>
  <c r="M39" i="5" s="1"/>
  <c r="L40" i="5" a="1"/>
  <c r="L40" i="5" s="1"/>
  <c r="D40" i="5"/>
  <c r="I40" i="5" s="1" a="1"/>
  <c r="I40" i="5" s="1"/>
  <c r="K40" i="5" s="1" a="1"/>
  <c r="K40" i="5" s="1"/>
  <c r="F40" i="5"/>
  <c r="J41" i="5" a="1"/>
  <c r="J41" i="5" s="1"/>
  <c r="E41" i="5" a="1"/>
  <c r="E41" i="5" s="1"/>
  <c r="C42" i="5" a="1"/>
  <c r="C42" i="5" s="1"/>
  <c r="H42" i="5" l="1"/>
  <c r="G42" i="5" a="1"/>
  <c r="G42" i="5" s="1"/>
  <c r="V39" i="5"/>
  <c r="M40" i="5" a="1"/>
  <c r="M40" i="5" s="1"/>
  <c r="L41" i="5" a="1"/>
  <c r="L41" i="5" s="1"/>
  <c r="F41" i="5"/>
  <c r="D41" i="5"/>
  <c r="I41" i="5" s="1" a="1"/>
  <c r="I41" i="5" s="1"/>
  <c r="K41" i="5" s="1" a="1"/>
  <c r="K41" i="5" s="1"/>
  <c r="J42" i="5" a="1"/>
  <c r="J42" i="5" s="1"/>
  <c r="E42" i="5" a="1"/>
  <c r="E42" i="5" s="1"/>
  <c r="C43" i="5" a="1"/>
  <c r="C43" i="5" s="1"/>
  <c r="N38" i="5" s="1" a="1"/>
  <c r="N38" i="5" s="1"/>
  <c r="T38" i="5" l="1"/>
  <c r="O38" i="5"/>
  <c r="Q38" i="5"/>
  <c r="H43" i="5"/>
  <c r="G43" i="5" a="1"/>
  <c r="G43" i="5" s="1"/>
  <c r="V40" i="5"/>
  <c r="M41" i="5" a="1"/>
  <c r="M41" i="5" s="1"/>
  <c r="L42" i="5" a="1"/>
  <c r="L42" i="5" s="1"/>
  <c r="F42" i="5"/>
  <c r="D42" i="5"/>
  <c r="I42" i="5" s="1" a="1"/>
  <c r="I42" i="5" s="1"/>
  <c r="K42" i="5" s="1" a="1"/>
  <c r="K42" i="5" s="1"/>
  <c r="J43" i="5" a="1"/>
  <c r="J43" i="5" s="1"/>
  <c r="E43" i="5" a="1"/>
  <c r="E43" i="5" s="1"/>
  <c r="C44" i="5" a="1"/>
  <c r="C44" i="5" s="1"/>
  <c r="N39" i="5" l="1" a="1"/>
  <c r="N39" i="5" s="1"/>
  <c r="P38" i="5"/>
  <c r="H44" i="5"/>
  <c r="G44" i="5" a="1"/>
  <c r="G44" i="5" s="1"/>
  <c r="V41" i="5"/>
  <c r="R38" i="5"/>
  <c r="S38" i="5" s="1"/>
  <c r="M42" i="5" a="1"/>
  <c r="M42" i="5" s="1"/>
  <c r="D43" i="5"/>
  <c r="I43" i="5" s="1" a="1"/>
  <c r="I43" i="5" s="1"/>
  <c r="K43" i="5" s="1" a="1"/>
  <c r="K43" i="5" s="1"/>
  <c r="F43" i="5"/>
  <c r="L43" i="5" a="1"/>
  <c r="L43" i="5" s="1"/>
  <c r="J44" i="5" a="1"/>
  <c r="J44" i="5" s="1"/>
  <c r="E44" i="5" a="1"/>
  <c r="E44" i="5" s="1"/>
  <c r="C45" i="5" a="1"/>
  <c r="C45" i="5" s="1"/>
  <c r="N40" i="5" s="1" a="1"/>
  <c r="N40" i="5" s="1"/>
  <c r="Q40" i="5" l="1"/>
  <c r="T40" i="5"/>
  <c r="O40" i="5"/>
  <c r="Q39" i="5"/>
  <c r="R39" i="5" s="1"/>
  <c r="T39" i="5"/>
  <c r="O39" i="5"/>
  <c r="P39" i="5" s="1"/>
  <c r="S39" i="5" s="1"/>
  <c r="H45" i="5"/>
  <c r="G45" i="5" a="1"/>
  <c r="G45" i="5" s="1"/>
  <c r="V42" i="5"/>
  <c r="M43" i="5" a="1"/>
  <c r="M43" i="5" s="1"/>
  <c r="L44" i="5" a="1"/>
  <c r="L44" i="5" s="1"/>
  <c r="D44" i="5"/>
  <c r="I44" i="5" s="1" a="1"/>
  <c r="I44" i="5" s="1"/>
  <c r="K44" i="5" s="1" a="1"/>
  <c r="K44" i="5" s="1"/>
  <c r="F44" i="5"/>
  <c r="J45" i="5" a="1"/>
  <c r="J45" i="5" s="1"/>
  <c r="E45" i="5" a="1"/>
  <c r="E45" i="5" s="1"/>
  <c r="C46" i="5" a="1"/>
  <c r="C46" i="5" s="1"/>
  <c r="N41" i="5" l="1" a="1"/>
  <c r="N41" i="5" s="1"/>
  <c r="Q41" i="5" s="1"/>
  <c r="R40" i="5"/>
  <c r="S40" i="5" s="1"/>
  <c r="P40" i="5"/>
  <c r="V43" i="5"/>
  <c r="H46" i="5"/>
  <c r="G46" i="5" a="1"/>
  <c r="G46" i="5" s="1"/>
  <c r="M44" i="5" a="1"/>
  <c r="M44" i="5" s="1"/>
  <c r="L45" i="5" a="1"/>
  <c r="L45" i="5" s="1"/>
  <c r="F45" i="5"/>
  <c r="D45" i="5"/>
  <c r="I45" i="5" s="1" a="1"/>
  <c r="I45" i="5" s="1"/>
  <c r="K45" i="5" s="1" a="1"/>
  <c r="K45" i="5" s="1"/>
  <c r="J46" i="5" a="1"/>
  <c r="J46" i="5" s="1"/>
  <c r="E46" i="5" a="1"/>
  <c r="E46" i="5" s="1"/>
  <c r="C47" i="5" a="1"/>
  <c r="C47" i="5" s="1"/>
  <c r="O41" i="5" l="1"/>
  <c r="T41" i="5"/>
  <c r="V44" i="5"/>
  <c r="H47" i="5"/>
  <c r="G47" i="5" a="1"/>
  <c r="G47" i="5" s="1"/>
  <c r="M45" i="5" a="1"/>
  <c r="M45" i="5" s="1"/>
  <c r="L46" i="5" a="1"/>
  <c r="L46" i="5" s="1"/>
  <c r="F46" i="5"/>
  <c r="D46" i="5"/>
  <c r="I46" i="5" s="1" a="1"/>
  <c r="I46" i="5" s="1"/>
  <c r="K46" i="5" s="1" a="1"/>
  <c r="K46" i="5" s="1"/>
  <c r="J47" i="5" a="1"/>
  <c r="J47" i="5" s="1"/>
  <c r="E47" i="5" a="1"/>
  <c r="E47" i="5" s="1"/>
  <c r="C48" i="5" a="1"/>
  <c r="C48" i="5" s="1"/>
  <c r="N44" i="5" l="1" a="1"/>
  <c r="N44" i="5" s="1"/>
  <c r="N42" i="5" a="1"/>
  <c r="N42" i="5" s="1"/>
  <c r="R41" i="5"/>
  <c r="P41" i="5"/>
  <c r="S41" i="5" s="1"/>
  <c r="V45" i="5"/>
  <c r="H48" i="5"/>
  <c r="G48" i="5" a="1"/>
  <c r="G48" i="5" s="1"/>
  <c r="M46" i="5" a="1"/>
  <c r="M46" i="5" s="1"/>
  <c r="L47" i="5" a="1"/>
  <c r="L47" i="5" s="1"/>
  <c r="D47" i="5"/>
  <c r="I47" i="5" s="1" a="1"/>
  <c r="I47" i="5" s="1"/>
  <c r="K47" i="5" s="1" a="1"/>
  <c r="K47" i="5" s="1"/>
  <c r="F47" i="5"/>
  <c r="J48" i="5" a="1"/>
  <c r="J48" i="5" s="1"/>
  <c r="E48" i="5" a="1"/>
  <c r="E48" i="5" s="1"/>
  <c r="C49" i="5" a="1"/>
  <c r="C49" i="5" s="1"/>
  <c r="N45" i="5" l="1" a="1"/>
  <c r="N45" i="5" s="1"/>
  <c r="N43" i="5" a="1"/>
  <c r="N43" i="5" s="1"/>
  <c r="N46" i="5" a="1"/>
  <c r="N46" i="5" s="1"/>
  <c r="O45" i="5"/>
  <c r="T45" i="5"/>
  <c r="Q45" i="5"/>
  <c r="Q44" i="5"/>
  <c r="O44" i="5"/>
  <c r="T44" i="5"/>
  <c r="O42" i="5"/>
  <c r="P42" i="5" s="1"/>
  <c r="T42" i="5"/>
  <c r="Q42" i="5"/>
  <c r="R42" i="5" s="1"/>
  <c r="S42" i="5" s="1"/>
  <c r="U40" i="5"/>
  <c r="V46" i="5"/>
  <c r="H49" i="5"/>
  <c r="G49" i="5" a="1"/>
  <c r="G49" i="5" s="1"/>
  <c r="N47" i="5" a="1"/>
  <c r="N47" i="5" s="1"/>
  <c r="M47" i="5" a="1"/>
  <c r="M47" i="5" s="1"/>
  <c r="L48" i="5" a="1"/>
  <c r="L48" i="5" s="1"/>
  <c r="F48" i="5"/>
  <c r="D48" i="5"/>
  <c r="I48" i="5" s="1" a="1"/>
  <c r="I48" i="5" s="1"/>
  <c r="K48" i="5" a="1"/>
  <c r="K48" i="5" s="1"/>
  <c r="J49" i="5" a="1"/>
  <c r="J49" i="5" s="1"/>
  <c r="E49" i="5" a="1"/>
  <c r="E49" i="5" s="1"/>
  <c r="C50" i="5" a="1"/>
  <c r="C50" i="5" s="1"/>
  <c r="O43" i="5" l="1"/>
  <c r="Q43" i="5"/>
  <c r="T43" i="5"/>
  <c r="T46" i="5"/>
  <c r="O46" i="5"/>
  <c r="Q46" i="5"/>
  <c r="Q47" i="5"/>
  <c r="R47" i="5" s="1"/>
  <c r="V47" i="5"/>
  <c r="O47" i="5"/>
  <c r="P47" i="5" s="1"/>
  <c r="S47" i="5" s="1"/>
  <c r="T47" i="5"/>
  <c r="W40" i="5"/>
  <c r="X40" i="5" s="1"/>
  <c r="U41" i="5"/>
  <c r="H50" i="5"/>
  <c r="G50" i="5" a="1"/>
  <c r="G50" i="5" s="1"/>
  <c r="M48" i="5" a="1"/>
  <c r="M48" i="5" s="1"/>
  <c r="N48" i="5" a="1"/>
  <c r="N48" i="5" s="1"/>
  <c r="L49" i="5" a="1"/>
  <c r="L49" i="5" s="1"/>
  <c r="D49" i="5"/>
  <c r="I49" i="5" s="1" a="1"/>
  <c r="I49" i="5" s="1"/>
  <c r="F49" i="5"/>
  <c r="K49" i="5" a="1"/>
  <c r="K49" i="5" s="1"/>
  <c r="J50" i="5" a="1"/>
  <c r="J50" i="5" s="1"/>
  <c r="E50" i="5" a="1"/>
  <c r="E50" i="5" s="1"/>
  <c r="C51" i="5" a="1"/>
  <c r="C51" i="5" s="1"/>
  <c r="R43" i="5" l="1"/>
  <c r="R44" i="5"/>
  <c r="R46" i="5"/>
  <c r="R45" i="5"/>
  <c r="P43" i="5"/>
  <c r="S43" i="5" s="1"/>
  <c r="P44" i="5"/>
  <c r="S44" i="5" s="1"/>
  <c r="P46" i="5"/>
  <c r="S46" i="5" s="1"/>
  <c r="P45" i="5"/>
  <c r="S45" i="5" s="1"/>
  <c r="T48" i="5"/>
  <c r="O48" i="5"/>
  <c r="P48" i="5" s="1"/>
  <c r="S48" i="5" s="1"/>
  <c r="V48" i="5"/>
  <c r="Q48" i="5"/>
  <c r="R48" i="5" s="1"/>
  <c r="W41" i="5"/>
  <c r="X41" i="5" s="1"/>
  <c r="H51" i="5"/>
  <c r="G51" i="5" a="1"/>
  <c r="G51" i="5" s="1"/>
  <c r="N49" i="5" a="1"/>
  <c r="N49" i="5" s="1"/>
  <c r="M49" i="5" a="1"/>
  <c r="M49" i="5" s="1"/>
  <c r="L50" i="5" a="1"/>
  <c r="L50" i="5" s="1"/>
  <c r="F50" i="5"/>
  <c r="X50" i="5" s="1"/>
  <c r="D50" i="5"/>
  <c r="I50" i="5" s="1" a="1"/>
  <c r="I50" i="5" s="1"/>
  <c r="K50" i="5" a="1"/>
  <c r="K50" i="5" s="1"/>
  <c r="J51" i="5" a="1"/>
  <c r="J51" i="5" s="1"/>
  <c r="E51" i="5" a="1"/>
  <c r="E51" i="5" s="1"/>
  <c r="C52" i="5" a="1"/>
  <c r="C52" i="5" s="1"/>
  <c r="T49" i="5" l="1"/>
  <c r="V49" i="5"/>
  <c r="O49" i="5"/>
  <c r="P49" i="5" s="1"/>
  <c r="S49" i="5" s="1"/>
  <c r="Q49" i="5"/>
  <c r="R49" i="5" s="1"/>
  <c r="U42" i="5"/>
  <c r="AD51" i="5"/>
  <c r="AC51" i="5"/>
  <c r="AB51" i="5"/>
  <c r="AA51" i="5"/>
  <c r="Z51" i="5"/>
  <c r="Y51" i="5"/>
  <c r="H52" i="5"/>
  <c r="G52" i="5" a="1"/>
  <c r="G52" i="5" s="1"/>
  <c r="S50" i="5"/>
  <c r="W50" i="5"/>
  <c r="V50" i="5"/>
  <c r="T50" i="5"/>
  <c r="U50" i="5"/>
  <c r="M50" i="5" a="1"/>
  <c r="M50" i="5" s="1"/>
  <c r="N50" i="5" a="1"/>
  <c r="N50" i="5" s="1"/>
  <c r="O50" i="5"/>
  <c r="P50" i="5"/>
  <c r="Q50" i="5"/>
  <c r="R50" i="5"/>
  <c r="F51" i="5"/>
  <c r="X51" i="5" s="1"/>
  <c r="L51" i="5" a="1"/>
  <c r="L51" i="5" s="1"/>
  <c r="D51" i="5"/>
  <c r="I51" i="5" s="1" a="1"/>
  <c r="I51" i="5" s="1"/>
  <c r="K51" i="5" a="1"/>
  <c r="K51" i="5" s="1"/>
  <c r="J52" i="5" a="1"/>
  <c r="J52" i="5" s="1"/>
  <c r="E52" i="5" a="1"/>
  <c r="E52" i="5" s="1"/>
  <c r="C53" i="5" a="1"/>
  <c r="C53" i="5" s="1"/>
  <c r="U49" i="5" l="1"/>
  <c r="U48" i="5"/>
  <c r="U47" i="5"/>
  <c r="U44" i="5"/>
  <c r="U45" i="5"/>
  <c r="U46" i="5"/>
  <c r="U43" i="5"/>
  <c r="W42" i="5"/>
  <c r="X42" i="5" s="1"/>
  <c r="AD52" i="5"/>
  <c r="AC52" i="5"/>
  <c r="AB52" i="5"/>
  <c r="AA52" i="5"/>
  <c r="Z52" i="5"/>
  <c r="Y52" i="5"/>
  <c r="H53" i="5"/>
  <c r="G53" i="5" a="1"/>
  <c r="G53" i="5" s="1"/>
  <c r="S51" i="5"/>
  <c r="W51" i="5"/>
  <c r="V51" i="5"/>
  <c r="U51" i="5"/>
  <c r="T51" i="5"/>
  <c r="M51" i="5" a="1"/>
  <c r="M51" i="5" s="1"/>
  <c r="Q51" i="5"/>
  <c r="R51" i="5"/>
  <c r="O51" i="5"/>
  <c r="P51" i="5"/>
  <c r="N51" i="5" a="1"/>
  <c r="N51" i="5" s="1"/>
  <c r="L52" i="5" a="1"/>
  <c r="L52" i="5" s="1"/>
  <c r="D52" i="5"/>
  <c r="I52" i="5" s="1" a="1"/>
  <c r="I52" i="5" s="1"/>
  <c r="F52" i="5"/>
  <c r="X52" i="5" s="1"/>
  <c r="K52" i="5" a="1"/>
  <c r="K52" i="5" s="1"/>
  <c r="J53" i="5" a="1"/>
  <c r="J53" i="5" s="1"/>
  <c r="E53" i="5" a="1"/>
  <c r="E53" i="5" s="1"/>
  <c r="C54" i="5" a="1"/>
  <c r="C54" i="5" s="1"/>
  <c r="W47" i="5" l="1"/>
  <c r="X47" i="5" s="1"/>
  <c r="W48" i="5"/>
  <c r="X48" i="5" s="1"/>
  <c r="W44" i="5"/>
  <c r="X44" i="5" s="1"/>
  <c r="W43" i="5"/>
  <c r="X43" i="5" s="1"/>
  <c r="W45" i="5"/>
  <c r="X45" i="5" s="1"/>
  <c r="W46" i="5"/>
  <c r="X46" i="5" s="1"/>
  <c r="W49" i="5"/>
  <c r="X49" i="5" s="1"/>
  <c r="AD53" i="5"/>
  <c r="AC53" i="5"/>
  <c r="Y53" i="5"/>
  <c r="AB53" i="5"/>
  <c r="AA53" i="5"/>
  <c r="Z53" i="5"/>
  <c r="H54" i="5"/>
  <c r="G54" i="5" a="1"/>
  <c r="G54" i="5" s="1"/>
  <c r="S52" i="5"/>
  <c r="W52" i="5"/>
  <c r="T52" i="5"/>
  <c r="V52" i="5"/>
  <c r="U52" i="5"/>
  <c r="M52" i="5" a="1"/>
  <c r="M52" i="5" s="1"/>
  <c r="N52" i="5" a="1"/>
  <c r="N52" i="5" s="1"/>
  <c r="O52" i="5"/>
  <c r="P52" i="5"/>
  <c r="Q52" i="5"/>
  <c r="R52" i="5"/>
  <c r="F53" i="5"/>
  <c r="X53" i="5" s="1"/>
  <c r="L53" i="5" a="1"/>
  <c r="L53" i="5" s="1"/>
  <c r="D53" i="5"/>
  <c r="I53" i="5" s="1" a="1"/>
  <c r="I53" i="5" s="1"/>
  <c r="K53" i="5" a="1"/>
  <c r="K53" i="5" s="1"/>
  <c r="J54" i="5" a="1"/>
  <c r="J54" i="5" s="1"/>
  <c r="E54" i="5" a="1"/>
  <c r="E54" i="5" s="1"/>
  <c r="C55" i="5" a="1"/>
  <c r="C55" i="5" s="1"/>
  <c r="AD54" i="5" l="1"/>
  <c r="AC54" i="5"/>
  <c r="AB54" i="5"/>
  <c r="AA54" i="5"/>
  <c r="Z54" i="5"/>
  <c r="Y54" i="5"/>
  <c r="H55" i="5"/>
  <c r="G55" i="5" a="1"/>
  <c r="G55" i="5" s="1"/>
  <c r="S53" i="5"/>
  <c r="W53" i="5"/>
  <c r="V53" i="5"/>
  <c r="U53" i="5"/>
  <c r="T53" i="5"/>
  <c r="P53" i="5"/>
  <c r="M53" i="5" a="1"/>
  <c r="M53" i="5" s="1"/>
  <c r="Q53" i="5"/>
  <c r="R53" i="5"/>
  <c r="O53" i="5"/>
  <c r="N53" i="5" a="1"/>
  <c r="N53" i="5" s="1"/>
  <c r="L54" i="5" a="1"/>
  <c r="L54" i="5" s="1"/>
  <c r="D54" i="5"/>
  <c r="I54" i="5" s="1" a="1"/>
  <c r="I54" i="5" s="1"/>
  <c r="F54" i="5"/>
  <c r="X54" i="5" s="1"/>
  <c r="K54" i="5" a="1"/>
  <c r="K54" i="5" s="1"/>
  <c r="J55" i="5" a="1"/>
  <c r="J55" i="5" s="1"/>
  <c r="E55" i="5" a="1"/>
  <c r="E55" i="5" s="1"/>
  <c r="C56" i="5" a="1"/>
  <c r="C56" i="5" s="1"/>
  <c r="AD55" i="5" l="1"/>
  <c r="AC55" i="5"/>
  <c r="Y55" i="5"/>
  <c r="AB55" i="5"/>
  <c r="AA55" i="5"/>
  <c r="Z55" i="5"/>
  <c r="H56" i="5"/>
  <c r="G56" i="5" a="1"/>
  <c r="G56" i="5" s="1"/>
  <c r="S54" i="5"/>
  <c r="W54" i="5"/>
  <c r="T54" i="5"/>
  <c r="V54" i="5"/>
  <c r="U54" i="5"/>
  <c r="M54" i="5" a="1"/>
  <c r="M54" i="5" s="1"/>
  <c r="N54" i="5" a="1"/>
  <c r="N54" i="5" s="1"/>
  <c r="O54" i="5"/>
  <c r="P54" i="5"/>
  <c r="Q54" i="5"/>
  <c r="R54" i="5"/>
  <c r="L55" i="5" a="1"/>
  <c r="L55" i="5" s="1"/>
  <c r="F55" i="5"/>
  <c r="X55" i="5" s="1"/>
  <c r="D55" i="5"/>
  <c r="I55" i="5" s="1" a="1"/>
  <c r="I55" i="5" s="1"/>
  <c r="K55" i="5" a="1"/>
  <c r="K55" i="5" s="1"/>
  <c r="J56" i="5" a="1"/>
  <c r="J56" i="5" s="1"/>
  <c r="E56" i="5" a="1"/>
  <c r="E56" i="5" s="1"/>
  <c r="C57" i="5" a="1"/>
  <c r="C57" i="5" s="1"/>
  <c r="AD56" i="5" l="1"/>
  <c r="AC56" i="5"/>
  <c r="AB56" i="5"/>
  <c r="AA56" i="5"/>
  <c r="Z56" i="5"/>
  <c r="Y56" i="5"/>
  <c r="H57" i="5"/>
  <c r="G57" i="5" a="1"/>
  <c r="G57" i="5" s="1"/>
  <c r="S55" i="5"/>
  <c r="W55" i="5"/>
  <c r="T55" i="5"/>
  <c r="V55" i="5"/>
  <c r="U55" i="5"/>
  <c r="O55" i="5"/>
  <c r="P55" i="5"/>
  <c r="N55" i="5" a="1"/>
  <c r="N55" i="5" s="1"/>
  <c r="M55" i="5" a="1"/>
  <c r="M55" i="5" s="1"/>
  <c r="Q55" i="5"/>
  <c r="R55" i="5"/>
  <c r="L56" i="5" a="1"/>
  <c r="L56" i="5" s="1"/>
  <c r="F56" i="5"/>
  <c r="X56" i="5" s="1"/>
  <c r="D56" i="5"/>
  <c r="I56" i="5" s="1" a="1"/>
  <c r="I56" i="5" s="1"/>
  <c r="K56" i="5" a="1"/>
  <c r="K56" i="5" s="1"/>
  <c r="J57" i="5" a="1"/>
  <c r="J57" i="5" s="1"/>
  <c r="E57" i="5" a="1"/>
  <c r="E57" i="5" s="1"/>
  <c r="C58" i="5" a="1"/>
  <c r="C58" i="5" s="1"/>
  <c r="AD57" i="5" l="1"/>
  <c r="AC57" i="5"/>
  <c r="Y57" i="5"/>
  <c r="AB57" i="5"/>
  <c r="AA57" i="5"/>
  <c r="Z57" i="5"/>
  <c r="H58" i="5"/>
  <c r="G58" i="5" a="1"/>
  <c r="G58" i="5" s="1"/>
  <c r="S56" i="5"/>
  <c r="W56" i="5"/>
  <c r="V56" i="5"/>
  <c r="U56" i="5"/>
  <c r="T56" i="5"/>
  <c r="O56" i="5"/>
  <c r="P56" i="5"/>
  <c r="Q56" i="5"/>
  <c r="R56" i="5"/>
  <c r="M56" i="5" a="1"/>
  <c r="M56" i="5" s="1"/>
  <c r="N56" i="5" a="1"/>
  <c r="N56" i="5" s="1"/>
  <c r="L57" i="5" a="1"/>
  <c r="L57" i="5" s="1"/>
  <c r="D57" i="5"/>
  <c r="I57" i="5" s="1" a="1"/>
  <c r="I57" i="5" s="1"/>
  <c r="F57" i="5"/>
  <c r="X57" i="5" s="1"/>
  <c r="K57" i="5" a="1"/>
  <c r="K57" i="5" s="1"/>
  <c r="J58" i="5" a="1"/>
  <c r="J58" i="5" s="1"/>
  <c r="E58" i="5" a="1"/>
  <c r="E58" i="5" s="1"/>
  <c r="C59" i="5" a="1"/>
  <c r="C59" i="5" s="1"/>
  <c r="AD58" i="5" l="1"/>
  <c r="AC58" i="5"/>
  <c r="AB58" i="5"/>
  <c r="AA58" i="5"/>
  <c r="Z58" i="5"/>
  <c r="Y58" i="5"/>
  <c r="H59" i="5"/>
  <c r="G59" i="5" a="1"/>
  <c r="G59" i="5" s="1"/>
  <c r="S57" i="5"/>
  <c r="W57" i="5"/>
  <c r="T57" i="5"/>
  <c r="V57" i="5"/>
  <c r="U57" i="5"/>
  <c r="O57" i="5"/>
  <c r="P57" i="5"/>
  <c r="N57" i="5" a="1"/>
  <c r="N57" i="5" s="1"/>
  <c r="M57" i="5" a="1"/>
  <c r="M57" i="5" s="1"/>
  <c r="Q57" i="5"/>
  <c r="R57" i="5"/>
  <c r="F58" i="5"/>
  <c r="X58" i="5" s="1"/>
  <c r="L58" i="5" a="1"/>
  <c r="L58" i="5" s="1"/>
  <c r="D58" i="5"/>
  <c r="I58" i="5" s="1" a="1"/>
  <c r="I58" i="5" s="1"/>
  <c r="K58" i="5" a="1"/>
  <c r="K58" i="5" s="1"/>
  <c r="J59" i="5" a="1"/>
  <c r="J59" i="5" s="1"/>
  <c r="E59" i="5" a="1"/>
  <c r="E59" i="5" s="1"/>
  <c r="C60" i="5" a="1"/>
  <c r="C60" i="5" s="1"/>
  <c r="AD59" i="5" l="1"/>
  <c r="AC59" i="5"/>
  <c r="Z59" i="5"/>
  <c r="Y59" i="5"/>
  <c r="AB59" i="5"/>
  <c r="AA59" i="5"/>
  <c r="H60" i="5"/>
  <c r="G60" i="5" a="1"/>
  <c r="G60" i="5" s="1"/>
  <c r="N20" i="5" a="1"/>
  <c r="N20" i="5" s="1"/>
  <c r="N22" i="5" a="1"/>
  <c r="N22" i="5" s="1"/>
  <c r="N23" i="5" a="1"/>
  <c r="N23" i="5" s="1"/>
  <c r="N21" i="5" a="1"/>
  <c r="N21" i="5" s="1"/>
  <c r="N25" i="5" a="1"/>
  <c r="N25" i="5" s="1"/>
  <c r="S58" i="5"/>
  <c r="W58" i="5"/>
  <c r="V58" i="5"/>
  <c r="U58" i="5"/>
  <c r="T58" i="5"/>
  <c r="O58" i="5"/>
  <c r="P58" i="5"/>
  <c r="Q58" i="5"/>
  <c r="R58" i="5"/>
  <c r="M58" i="5" a="1"/>
  <c r="M58" i="5" s="1"/>
  <c r="N58" i="5" a="1"/>
  <c r="N58" i="5" s="1"/>
  <c r="L59" i="5" a="1"/>
  <c r="L59" i="5" s="1"/>
  <c r="F59" i="5"/>
  <c r="X59" i="5" s="1"/>
  <c r="D59" i="5"/>
  <c r="I59" i="5" s="1" a="1"/>
  <c r="I59" i="5" s="1"/>
  <c r="K59" i="5" a="1"/>
  <c r="K59" i="5" s="1"/>
  <c r="J60" i="5" a="1"/>
  <c r="J60" i="5" s="1"/>
  <c r="E60" i="5" a="1"/>
  <c r="E60" i="5" s="1"/>
  <c r="AD60" i="5" l="1"/>
  <c r="AC60" i="5"/>
  <c r="AB60" i="5"/>
  <c r="AA60" i="5"/>
  <c r="Z60" i="5"/>
  <c r="Y60" i="5"/>
  <c r="O20" i="5"/>
  <c r="P20" i="5" s="1"/>
  <c r="S20" i="5" s="1"/>
  <c r="Q20" i="5"/>
  <c r="R20" i="5" s="1"/>
  <c r="T20" i="5"/>
  <c r="T22" i="5"/>
  <c r="Q22" i="5"/>
  <c r="R22" i="5" s="1"/>
  <c r="O22" i="5"/>
  <c r="P22" i="5" s="1"/>
  <c r="S22" i="5" s="1"/>
  <c r="U39" i="5" s="1"/>
  <c r="Q23" i="5"/>
  <c r="R23" i="5" s="1"/>
  <c r="T23" i="5"/>
  <c r="O23" i="5"/>
  <c r="P23" i="5" s="1"/>
  <c r="S23" i="5" s="1"/>
  <c r="U23" i="5" s="1"/>
  <c r="Q21" i="5"/>
  <c r="R21" i="5" s="1"/>
  <c r="O21" i="5"/>
  <c r="P21" i="5" s="1"/>
  <c r="S21" i="5" s="1"/>
  <c r="T21" i="5"/>
  <c r="Q25" i="5"/>
  <c r="R25" i="5" s="1"/>
  <c r="S25" i="5" s="1"/>
  <c r="U25" i="5" s="1"/>
  <c r="T25" i="5"/>
  <c r="O25" i="5"/>
  <c r="P25" i="5" s="1"/>
  <c r="S59" i="5"/>
  <c r="W59" i="5"/>
  <c r="T59" i="5"/>
  <c r="V59" i="5"/>
  <c r="U59" i="5"/>
  <c r="O59" i="5"/>
  <c r="P59" i="5"/>
  <c r="N59" i="5" a="1"/>
  <c r="N59" i="5" s="1"/>
  <c r="M59" i="5" a="1"/>
  <c r="M59" i="5" s="1"/>
  <c r="Q59" i="5"/>
  <c r="R59" i="5"/>
  <c r="L60" i="5" a="1"/>
  <c r="L60" i="5" s="1"/>
  <c r="D60" i="5"/>
  <c r="I60" i="5" s="1" a="1"/>
  <c r="I60" i="5" s="1"/>
  <c r="F60" i="5"/>
  <c r="X60" i="5" s="1"/>
  <c r="K60" i="5" a="1"/>
  <c r="K60" i="5" s="1"/>
  <c r="U22" i="5" l="1"/>
  <c r="U38" i="5"/>
  <c r="U21" i="5"/>
  <c r="U37" i="5"/>
  <c r="U35" i="5"/>
  <c r="U36" i="5"/>
  <c r="U31" i="5"/>
  <c r="U28" i="5"/>
  <c r="U20" i="5"/>
  <c r="U33" i="5"/>
  <c r="U26" i="5"/>
  <c r="U24" i="5"/>
  <c r="U29" i="5"/>
  <c r="U30" i="5"/>
  <c r="U27" i="5"/>
  <c r="U32" i="5"/>
  <c r="U34" i="5"/>
  <c r="S60" i="5"/>
  <c r="W60" i="5"/>
  <c r="T60" i="5"/>
  <c r="V60" i="5"/>
  <c r="U60" i="5"/>
  <c r="M60" i="5" a="1"/>
  <c r="M60" i="5" s="1"/>
  <c r="N60" i="5" a="1"/>
  <c r="N60" i="5" s="1"/>
  <c r="O60" i="5"/>
  <c r="P60" i="5"/>
  <c r="Q60" i="5"/>
  <c r="R60" i="5"/>
  <c r="W39" i="5" l="1"/>
  <c r="X39" i="5" s="1"/>
  <c r="W38" i="5"/>
  <c r="X38" i="5" s="1"/>
  <c r="W37" i="5"/>
  <c r="X37" i="5" s="1"/>
  <c r="W36" i="5"/>
  <c r="X36" i="5" s="1"/>
  <c r="W35" i="5"/>
  <c r="X35" i="5" s="1"/>
  <c r="W24" i="5"/>
  <c r="X24" i="5" s="1"/>
  <c r="W27" i="5"/>
  <c r="X27" i="5" s="1"/>
  <c r="W32" i="5"/>
  <c r="X32" i="5" s="1"/>
  <c r="W34" i="5"/>
  <c r="X34" i="5" s="1"/>
  <c r="W25" i="5"/>
  <c r="X25" i="5" s="1"/>
  <c r="W22" i="5"/>
  <c r="X22" i="5" s="1"/>
  <c r="W21" i="5"/>
  <c r="X21" i="5" s="1"/>
  <c r="W23" i="5"/>
  <c r="X23" i="5" s="1"/>
  <c r="W20" i="5"/>
  <c r="X20" i="5" s="1"/>
  <c r="W31" i="5"/>
  <c r="X31" i="5" s="1"/>
  <c r="W28" i="5"/>
  <c r="X28" i="5" s="1"/>
  <c r="W33" i="5"/>
  <c r="X33" i="5" s="1"/>
  <c r="W26" i="5"/>
  <c r="X26" i="5" s="1"/>
  <c r="W29" i="5"/>
  <c r="X29" i="5" s="1"/>
  <c r="W30" i="5"/>
  <c r="X30" i="5" s="1"/>
  <c r="AA50" i="5" l="1"/>
  <c r="Y50" i="5"/>
  <c r="Z50" i="5"/>
  <c r="AB50" i="5" s="1"/>
  <c r="AA49" i="5"/>
  <c r="Z49" i="5"/>
  <c r="Y49" i="5"/>
  <c r="AA48" i="5"/>
  <c r="Z48" i="5"/>
  <c r="Y48" i="5"/>
  <c r="AA17" i="5"/>
  <c r="Z17" i="5"/>
  <c r="Y17" i="5"/>
  <c r="AA47" i="5"/>
  <c r="Z47" i="5"/>
  <c r="Y47" i="5"/>
  <c r="Y46" i="5"/>
  <c r="AA46" i="5"/>
  <c r="Z46" i="5"/>
  <c r="AA37" i="5"/>
  <c r="Z37" i="5"/>
  <c r="AA45" i="5"/>
  <c r="Y45" i="5"/>
  <c r="Z45" i="5"/>
  <c r="Z36" i="5"/>
  <c r="AA36" i="5"/>
  <c r="Y36" i="5"/>
  <c r="Y44" i="5"/>
  <c r="AA44" i="5"/>
  <c r="Z44" i="5"/>
  <c r="AA14" i="5"/>
  <c r="AA15" i="5"/>
  <c r="AA16" i="5"/>
  <c r="Z14" i="5"/>
  <c r="Z16" i="5"/>
  <c r="Y15" i="5"/>
  <c r="Z15" i="5"/>
  <c r="Y14" i="5"/>
  <c r="Y16" i="5"/>
  <c r="AA20" i="5"/>
  <c r="AA21" i="5"/>
  <c r="AA23" i="5"/>
  <c r="AA24" i="5"/>
  <c r="AA27" i="5"/>
  <c r="AA29" i="5"/>
  <c r="AA32" i="5"/>
  <c r="AA22" i="5"/>
  <c r="AA25" i="5"/>
  <c r="AA26" i="5"/>
  <c r="AA28" i="5"/>
  <c r="AA30" i="5"/>
  <c r="AA42" i="5"/>
  <c r="AA33" i="5"/>
  <c r="AA34" i="5"/>
  <c r="AA35" i="5"/>
  <c r="AA38" i="5"/>
  <c r="AA39" i="5"/>
  <c r="AA40" i="5"/>
  <c r="AA41" i="5"/>
  <c r="AA43" i="5"/>
  <c r="AA31" i="5"/>
  <c r="Z20" i="5"/>
  <c r="Z23" i="5"/>
  <c r="Z26" i="5"/>
  <c r="Z28" i="5"/>
  <c r="Z31" i="5"/>
  <c r="Z34" i="5"/>
  <c r="Z39" i="5"/>
  <c r="Z42" i="5"/>
  <c r="Z21" i="5"/>
  <c r="Z25" i="5"/>
  <c r="Z29" i="5"/>
  <c r="Z32" i="5"/>
  <c r="Z35" i="5"/>
  <c r="Z38" i="5"/>
  <c r="Z41" i="5"/>
  <c r="Z22" i="5"/>
  <c r="Z24" i="5"/>
  <c r="Z27" i="5"/>
  <c r="Z30" i="5"/>
  <c r="Z33" i="5"/>
  <c r="Z40" i="5"/>
  <c r="Z43" i="5"/>
  <c r="Y23" i="5"/>
  <c r="Y32" i="5"/>
  <c r="Y22" i="5"/>
  <c r="Y24" i="5"/>
  <c r="Y27" i="5"/>
  <c r="Y40" i="5"/>
  <c r="Y42" i="5"/>
  <c r="Y43" i="5"/>
  <c r="Y21" i="5"/>
  <c r="Y25" i="5"/>
  <c r="Y31" i="5"/>
  <c r="Y38" i="5"/>
  <c r="Y41" i="5"/>
  <c r="Y30" i="5"/>
  <c r="Y33" i="5"/>
  <c r="Y35" i="5"/>
  <c r="Y37" i="5"/>
  <c r="Y28" i="5"/>
  <c r="Y20" i="5"/>
  <c r="Y26" i="5"/>
  <c r="Y29" i="5"/>
  <c r="Y34" i="5"/>
  <c r="Y39" i="5"/>
  <c r="AB49" i="5" l="1"/>
  <c r="AC50" i="5"/>
  <c r="AD50" i="5"/>
  <c r="AD49" i="5"/>
  <c r="AC49" i="5"/>
  <c r="AB48" i="5"/>
  <c r="AB47" i="5"/>
  <c r="AC48" i="5"/>
  <c r="AD48" i="5"/>
  <c r="AB17" i="5"/>
  <c r="AD17" i="5"/>
  <c r="AC17" i="5"/>
  <c r="AC28" i="5"/>
  <c r="AB32" i="5"/>
  <c r="AC47" i="5"/>
  <c r="AD47" i="5"/>
  <c r="AB46" i="5"/>
  <c r="AB14" i="5"/>
  <c r="AD46" i="5"/>
  <c r="AC46" i="5"/>
  <c r="AB37" i="5"/>
  <c r="AB41" i="5"/>
  <c r="AB45" i="5"/>
  <c r="AC37" i="5"/>
  <c r="AD37" i="5"/>
  <c r="AC45" i="5"/>
  <c r="AD45" i="5"/>
  <c r="AB44" i="5"/>
  <c r="AB15" i="5"/>
  <c r="AB25" i="5"/>
  <c r="AC36" i="5"/>
  <c r="AD36" i="5"/>
  <c r="AC44" i="5"/>
  <c r="AD44" i="5"/>
  <c r="AB36" i="5"/>
  <c r="AB30" i="5"/>
  <c r="AB29" i="5"/>
  <c r="AB16" i="5"/>
  <c r="AD14" i="5"/>
  <c r="AC14" i="5"/>
  <c r="AC15" i="5"/>
  <c r="AD15" i="5"/>
  <c r="AC16" i="5"/>
  <c r="AD16" i="5"/>
  <c r="AB35" i="5"/>
  <c r="AB38" i="5"/>
  <c r="AB22" i="5"/>
  <c r="AB40" i="5"/>
  <c r="AB43" i="5"/>
  <c r="AB33" i="5"/>
  <c r="AB26" i="5"/>
  <c r="AB42" i="5"/>
  <c r="AD20" i="5"/>
  <c r="AD21" i="5"/>
  <c r="AD23" i="5"/>
  <c r="AD27" i="5"/>
  <c r="AD32" i="5"/>
  <c r="AD25" i="5"/>
  <c r="AD28" i="5"/>
  <c r="AD42" i="5"/>
  <c r="AD34" i="5"/>
  <c r="AD24" i="5"/>
  <c r="AD29" i="5"/>
  <c r="AD22" i="5"/>
  <c r="AD26" i="5"/>
  <c r="AD30" i="5"/>
  <c r="AD33" i="5"/>
  <c r="AD35" i="5"/>
  <c r="AD38" i="5"/>
  <c r="AD39" i="5"/>
  <c r="AD40" i="5"/>
  <c r="AD41" i="5"/>
  <c r="AD43" i="5"/>
  <c r="AD31" i="5"/>
  <c r="AC20" i="5"/>
  <c r="AC21" i="5"/>
  <c r="AC23" i="5"/>
  <c r="AC32" i="5"/>
  <c r="AC25" i="5"/>
  <c r="AC26" i="5"/>
  <c r="AC30" i="5"/>
  <c r="AC33" i="5"/>
  <c r="AC35" i="5"/>
  <c r="AC24" i="5"/>
  <c r="AC27" i="5"/>
  <c r="AC29" i="5"/>
  <c r="AC22" i="5"/>
  <c r="AC42" i="5"/>
  <c r="AC34" i="5"/>
  <c r="AC38" i="5"/>
  <c r="AC39" i="5"/>
  <c r="AC40" i="5"/>
  <c r="AC41" i="5"/>
  <c r="AC43" i="5"/>
  <c r="AC31" i="5"/>
  <c r="AB20" i="5"/>
  <c r="AB23" i="5"/>
  <c r="AB21" i="5"/>
  <c r="AB24" i="5"/>
  <c r="AB27" i="5"/>
  <c r="AB28" i="5"/>
  <c r="AB31" i="5"/>
  <c r="AB34" i="5"/>
  <c r="AB3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<sst xmlns="http://schemas.openxmlformats.org/spreadsheetml/2006/main" count="464" uniqueCount="190">
  <si>
    <t>To be allocated:</t>
  </si>
  <si>
    <t>Income</t>
  </si>
  <si>
    <t>Employment (Net)</t>
  </si>
  <si>
    <t>Side Hustle (Net)</t>
  </si>
  <si>
    <t xml:space="preserve">Divedends </t>
  </si>
  <si>
    <t>Enter Income Category...</t>
  </si>
  <si>
    <t xml:space="preserve">Total </t>
  </si>
  <si>
    <t>Expenses</t>
  </si>
  <si>
    <t>Housing</t>
  </si>
  <si>
    <t>Taxes</t>
  </si>
  <si>
    <t>Benifits</t>
  </si>
  <si>
    <t>Car Payments</t>
  </si>
  <si>
    <t>Car Insurance</t>
  </si>
  <si>
    <t>Gas</t>
  </si>
  <si>
    <t>Utilities</t>
  </si>
  <si>
    <t>Groceries</t>
  </si>
  <si>
    <t>Transportation</t>
  </si>
  <si>
    <t>Clothing</t>
  </si>
  <si>
    <t>Food</t>
  </si>
  <si>
    <t>Media/Entertainment</t>
  </si>
  <si>
    <t xml:space="preserve">Fun/Activities </t>
  </si>
  <si>
    <t>Body Care &amp; Medicine</t>
  </si>
  <si>
    <t>Charity</t>
  </si>
  <si>
    <t>Enter Expenses Category...</t>
  </si>
  <si>
    <t>Savings</t>
  </si>
  <si>
    <t>Emergency Fund</t>
  </si>
  <si>
    <t xml:space="preserve">Stock Portfolio </t>
  </si>
  <si>
    <t>Sinking Fund Rest</t>
  </si>
  <si>
    <t>Budget Tracking</t>
  </si>
  <si>
    <t>Date of Today</t>
  </si>
  <si>
    <t>Date of Last Record</t>
  </si>
  <si>
    <t>Date</t>
  </si>
  <si>
    <t>Type</t>
  </si>
  <si>
    <t>Amount</t>
  </si>
  <si>
    <t>Details</t>
  </si>
  <si>
    <t>Balance</t>
  </si>
  <si>
    <t>Effective Date</t>
  </si>
  <si>
    <t>Budget Dashboard</t>
  </si>
  <si>
    <t>Year</t>
  </si>
  <si>
    <t>Select the year to view --&gt;</t>
  </si>
  <si>
    <t>Current Year</t>
  </si>
  <si>
    <t>Period</t>
  </si>
  <si>
    <t>Select the period to view --&gt;</t>
  </si>
  <si>
    <t>Total Year</t>
  </si>
  <si>
    <t>Summary</t>
  </si>
  <si>
    <t>row_id</t>
  </si>
  <si>
    <t>header_row_id</t>
  </si>
  <si>
    <t>is_header</t>
  </si>
  <si>
    <t>is_cat</t>
  </si>
  <si>
    <t>is_total</t>
  </si>
  <si>
    <t>is_empty</t>
  </si>
  <si>
    <t>type</t>
  </si>
  <si>
    <t>item</t>
  </si>
  <si>
    <t>tracked</t>
  </si>
  <si>
    <t>budget</t>
  </si>
  <si>
    <t>Dropdown Data</t>
  </si>
  <si>
    <t>Year Dropdown</t>
  </si>
  <si>
    <t>Period Dropdown</t>
  </si>
  <si>
    <t>Current Month</t>
  </si>
  <si>
    <t>Calculations</t>
  </si>
  <si>
    <t>Worksheet: Budget Tracking</t>
  </si>
  <si>
    <t>Today:</t>
  </si>
  <si>
    <t>Last Record:</t>
  </si>
  <si>
    <t>Delta Last Record:</t>
  </si>
  <si>
    <t># Records:</t>
  </si>
  <si>
    <t>Balance Analysis Text:</t>
  </si>
  <si>
    <t>Worksheet: Budget Dashobard</t>
  </si>
  <si>
    <t>Selected Year:</t>
  </si>
  <si>
    <t>Selected Period:</t>
  </si>
  <si>
    <t>Selected Period (Display):</t>
  </si>
  <si>
    <t>General Settings</t>
  </si>
  <si>
    <t>Starting Year:</t>
  </si>
  <si>
    <t>Set the starting year (yyyy) at the beginning and do not change</t>
  </si>
  <si>
    <t>Late Monthly Income</t>
  </si>
  <si>
    <t>Shift Late Income:</t>
  </si>
  <si>
    <t>Activate this option to treat late income recieved on or after a certain day of the month as income for the next month. This is especially recommended in case you recieve your monthly paycheck towards the end of the month and prefer to consider this income for the next month.</t>
  </si>
  <si>
    <t>Stating on day x in month:</t>
  </si>
  <si>
    <t>Category</t>
  </si>
  <si>
    <t>sort_min_row</t>
  </si>
  <si>
    <t>sort_max_row</t>
  </si>
  <si>
    <t>tracked_range</t>
  </si>
  <si>
    <t>tracked_rank</t>
  </si>
  <si>
    <t>budget_range</t>
  </si>
  <si>
    <t>budget_rank</t>
  </si>
  <si>
    <t>comb_rank</t>
  </si>
  <si>
    <t>comb_rank_range</t>
  </si>
  <si>
    <t>comb_rank_unique</t>
  </si>
  <si>
    <t>comb_rank_norm_run_range</t>
  </si>
  <si>
    <t>comb_rank_norm</t>
  </si>
  <si>
    <t>sorted_row_id [Lookup]</t>
  </si>
  <si>
    <t>Active</t>
  </si>
  <si>
    <t>Spotify</t>
  </si>
  <si>
    <t>Luxor Hotel for Aryan on New Years</t>
  </si>
  <si>
    <t>Wet Wipes</t>
  </si>
  <si>
    <t>Luxor Expenses</t>
  </si>
  <si>
    <t>Snacks</t>
  </si>
  <si>
    <t>Rice</t>
  </si>
  <si>
    <t>Taco Stand</t>
  </si>
  <si>
    <t>Batting Cage</t>
  </si>
  <si>
    <t>Lemongrass Thai Food</t>
  </si>
  <si>
    <t>Fremont Parking</t>
  </si>
  <si>
    <t>Playstation +</t>
  </si>
  <si>
    <t>Rollover</t>
  </si>
  <si>
    <t>Chicken &amp; Pickle</t>
  </si>
  <si>
    <t>Starbucks at the Luxor</t>
  </si>
  <si>
    <t>Funtime Fund</t>
  </si>
  <si>
    <t>401K</t>
  </si>
  <si>
    <t>Roth IRA</t>
  </si>
  <si>
    <t>Excalibur Parking</t>
  </si>
  <si>
    <t>This is because I have started tracking my budget on Jan 26 so this all the money I had before handin my bank account already</t>
  </si>
  <si>
    <t>Shawarma Paradise</t>
  </si>
  <si>
    <t>Amazon Prime</t>
  </si>
  <si>
    <t>Extra Robin Hood Money</t>
  </si>
  <si>
    <t>Bowling</t>
  </si>
  <si>
    <t>Down</t>
  </si>
  <si>
    <t>PKWY</t>
  </si>
  <si>
    <t>Nora's</t>
  </si>
  <si>
    <t>Body Soap, Chicken, Salad</t>
  </si>
  <si>
    <t>401k input:</t>
  </si>
  <si>
    <t>Roth IRA input:</t>
  </si>
  <si>
    <t>Invoice Balance:</t>
  </si>
  <si>
    <t>Crunchyroll</t>
  </si>
  <si>
    <t>Karen Cleaning</t>
  </si>
  <si>
    <t>China a go go</t>
  </si>
  <si>
    <t>Travel</t>
  </si>
  <si>
    <t>Gifts</t>
  </si>
  <si>
    <t>Tupperware Set for Mama</t>
  </si>
  <si>
    <t>Car Warranty</t>
  </si>
  <si>
    <t>Wingstop (It was for a girl)</t>
  </si>
  <si>
    <t>KFC it was for me :(</t>
  </si>
  <si>
    <t>Ling Malayalam App</t>
  </si>
  <si>
    <t>Cox Internet</t>
  </si>
  <si>
    <t>Emergency Fund:</t>
  </si>
  <si>
    <t>Things to Add:</t>
  </si>
  <si>
    <t>✓</t>
  </si>
  <si>
    <t>Charts</t>
  </si>
  <si>
    <t>Credit Card</t>
  </si>
  <si>
    <t>Debt Tracker</t>
  </si>
  <si>
    <t>Car Registration Fee</t>
  </si>
  <si>
    <t>Red Rock Bowling</t>
  </si>
  <si>
    <t>Red Rock Cyber Quest</t>
  </si>
  <si>
    <t>California Kitchen Pizza</t>
  </si>
  <si>
    <t>HBO Max</t>
  </si>
  <si>
    <t>Patreon Lemonade Stand</t>
  </si>
  <si>
    <t>Madhouse Café Latte</t>
  </si>
  <si>
    <t>Sent to Mama</t>
  </si>
  <si>
    <t>Dropout</t>
  </si>
  <si>
    <t>Condoms, Gum, Nerds Gummy Clusters</t>
  </si>
  <si>
    <t>I'm a fucking moron man</t>
  </si>
  <si>
    <t>For a girl</t>
  </si>
  <si>
    <t>Youtube</t>
  </si>
  <si>
    <t>Dunkin Donuts</t>
  </si>
  <si>
    <t>Papa Johns &amp; Raising Canes</t>
  </si>
  <si>
    <t>I might actually be the dumbest guy on the planet</t>
  </si>
  <si>
    <t>Mama paid for it</t>
  </si>
  <si>
    <t>Pho Ga Bac Bac</t>
  </si>
  <si>
    <t>Wine</t>
  </si>
  <si>
    <t>Donuts</t>
  </si>
  <si>
    <t>Uber for a Girl</t>
  </si>
  <si>
    <t>Makers &amp; Finders</t>
  </si>
  <si>
    <t>HELP MUSTAFA &amp; MUHANNAD FAMILY SURVIVE GAZA</t>
  </si>
  <si>
    <t>Pizza for a girl</t>
  </si>
  <si>
    <t>The Yard</t>
  </si>
  <si>
    <t>Misc.</t>
  </si>
  <si>
    <t>Progressive Accident Claim</t>
  </si>
  <si>
    <t>Olive Garden</t>
  </si>
  <si>
    <t>Down 3 flirts</t>
  </si>
  <si>
    <t>Nebula</t>
  </si>
  <si>
    <t>Car Part</t>
  </si>
  <si>
    <t>Chipotle</t>
  </si>
  <si>
    <t>Bread, Nuttella</t>
  </si>
  <si>
    <t>Coffee Bean &amp; Tea</t>
  </si>
  <si>
    <t>Del Taco</t>
  </si>
  <si>
    <t>Expedia Protecion</t>
  </si>
  <si>
    <t>Delta LAS - RIC</t>
  </si>
  <si>
    <t>Southwest RIC - LAS</t>
  </si>
  <si>
    <t>Dupar's Café</t>
  </si>
  <si>
    <t>Brokerage</t>
  </si>
  <si>
    <t>Average Daily Spend</t>
  </si>
  <si>
    <t>Medical</t>
  </si>
  <si>
    <t>Snacks because I was high</t>
  </si>
  <si>
    <t>McDonalds</t>
  </si>
  <si>
    <t>Tinder Messages 3</t>
  </si>
  <si>
    <t>Bagel Nook</t>
  </si>
  <si>
    <t>Taco Bell</t>
  </si>
  <si>
    <t>SafeNest </t>
  </si>
  <si>
    <t>Meow Wolf's Omega Mart</t>
  </si>
  <si>
    <t>Maybe I should kill myself</t>
  </si>
  <si>
    <t>Parking at 211 6th St. Las Vegas, NV 89101</t>
  </si>
  <si>
    <t>Horchata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</si>
</sst>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409]mmm\-yy;@"/>
    <numFmt numFmtId="165" formatCode="_([$$-409]* #,##0.00_);_([$$-409]* \(#,##0.00\);_([$$-409]* &quot;-&quot;??_);_(@_)"/>
    <numFmt numFmtId="166" formatCode="_(* #,##0_);_(* \(#,##0\);_(* &quot;-&quot;??_);_(@_)"/>
  </numFmts>
  <fonts count="24" x14ac:knownFonts="1">
    <font>
      <sz val="11"/>
      <color theme="1"/>
      <name val="Aptos Narrow"/>
      <family val="2"/>
      <scheme val="minor"/>
    </font>
    <font>
      <b/>
      <sz val="11"/>
      <color theme="1"/>
      <name val="Aptos Narrow"/>
      <family val="2"/>
      <scheme val="minor"/>
    </font>
    <font>
      <b/>
      <sz val="11"/>
      <color theme="0"/>
      <name val="Aptos Narrow"/>
      <family val="2"/>
      <scheme val="minor"/>
    </font>
    <font>
      <i/>
      <sz val="9"/>
      <color theme="1" tint="0.499984740745262"/>
      <name val="Aptos Narrow"/>
      <family val="2"/>
      <scheme val="minor"/>
    </font>
    <font>
      <sz val="10"/>
      <color theme="1" tint="0.499984740745262"/>
      <name val="Aptos Narrow"/>
      <family val="2"/>
      <scheme val="minor"/>
    </font>
    <font>
      <sz val="11"/>
      <color theme="1" tint="0.499984740745262"/>
      <name val="Aptos Narrow"/>
      <family val="2"/>
      <scheme val="minor"/>
    </font>
    <font>
      <b/>
      <sz val="10"/>
      <color theme="1"/>
      <name val="Aptos Narrow"/>
      <family val="2"/>
      <scheme val="minor"/>
    </font>
    <font>
      <b/>
      <sz val="10"/>
      <color theme="1" tint="0.499984740745262"/>
      <name val="Aptos Narrow"/>
      <family val="2"/>
      <scheme val="minor"/>
    </font>
    <font>
      <i/>
      <sz val="11"/>
      <color theme="1" tint="0.499984740745262"/>
      <name val="Aptos Narrow"/>
      <family val="2"/>
      <scheme val="minor"/>
    </font>
    <font>
      <b/>
      <sz val="16"/>
      <color theme="0"/>
      <name val="Aptos Narrow"/>
      <family val="2"/>
      <scheme val="minor"/>
    </font>
    <font>
      <sz val="10"/>
      <color theme="0"/>
      <name val="Aptos Narrow"/>
      <family val="2"/>
      <scheme val="minor"/>
    </font>
    <font>
      <sz val="10"/>
      <color theme="2" tint="-0.499984740745262"/>
      <name val="Aptos Narrow"/>
      <family val="2"/>
      <scheme val="minor"/>
    </font>
    <font>
      <sz val="11"/>
      <color theme="2" tint="-0.499984740745262"/>
      <name val="Aptos Narrow"/>
      <family val="2"/>
      <scheme val="minor"/>
    </font>
    <font>
      <b/>
      <sz val="11"/>
      <color theme="4"/>
      <name val="Aptos Narrow"/>
      <family val="2"/>
      <scheme val="minor"/>
    </font>
    <font>
      <sz val="11"/>
      <color theme="0" tint="-0.249977111117893"/>
      <name val="Aptos Narrow"/>
      <family val="2"/>
      <scheme val="minor"/>
    </font>
    <font>
      <b/>
      <sz val="20"/>
      <color rgb="FF000000"/>
      <name val="Aptos Narrow"/>
      <family val="2"/>
      <scheme val="minor"/>
    </font>
    <font>
      <b/>
      <sz val="12"/>
      <color theme="0"/>
      <name val="Aptos Narrow"/>
      <family val="2"/>
      <scheme val="minor"/>
    </font>
    <font>
      <i/>
      <sz val="11"/>
      <color theme="1" tint="0.34998626667073579"/>
      <name val="Aptos Narrow"/>
      <family val="2"/>
      <scheme val="minor"/>
    </font>
    <font>
      <b/>
      <sz val="16"/>
      <color theme="4"/>
      <name val="Aptos Display"/>
      <family val="2"/>
      <scheme val="major"/>
    </font>
    <font>
      <b/>
      <sz val="16"/>
      <color theme="4"/>
      <name val="Arial"/>
      <family val="2"/>
    </font>
    <font>
      <sz val="11"/>
      <color theme="1"/>
      <name val="Aptos Narrow"/>
      <family val="2"/>
      <scheme val="minor"/>
    </font>
    <font>
      <sz val="10"/>
      <color theme="1"/>
      <name val="Aptos Narrow"/>
      <family val="2"/>
      <scheme val="minor"/>
    </font>
    <font>
      <b/>
      <sz val="24"/>
      <color theme="3"/>
      <name val="Aptos Narrow"/>
      <family val="2"/>
      <scheme val="minor"/>
    </font>
    <font>
      <b/>
      <sz val="12"/>
      <name val="Arial"/>
      <family val="2"/>
    </font>
  </fonts>
  <fills count="12">
    <fill>
      <patternFill patternType="none"/>
    </fill>
    <fill>
      <patternFill patternType="gray125"/>
    </fill>
    <fill>
      <patternFill patternType="solid">
        <fgColor theme="1" tint="0.34998626667073579"/>
        <bgColor indexed="64"/>
      </patternFill>
    </fill>
    <fill>
      <patternFill patternType="solid">
        <fgColor theme="9"/>
        <bgColor indexed="64"/>
      </patternFill>
    </fill>
    <fill>
      <patternFill patternType="solid">
        <fgColor rgb="FFC00000"/>
        <bgColor indexed="64"/>
      </patternFill>
    </fill>
    <fill>
      <patternFill patternType="solid">
        <fgColor theme="3"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4"/>
        <bgColor indexed="64"/>
      </patternFill>
    </fill>
  </fills>
  <borders count="2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2" tint="-9.9978637043366805E-2"/>
      </right>
      <top style="thin">
        <color theme="2" tint="-9.9978637043366805E-2"/>
      </top>
      <bottom style="thin">
        <color theme="2" tint="-9.9978637043366805E-2"/>
      </bottom>
      <diagonal/>
    </border>
    <border>
      <left/>
      <right/>
      <top/>
      <bottom style="thin">
        <color theme="2" tint="-0.499984740745262"/>
      </bottom>
      <diagonal/>
    </border>
    <border>
      <left style="thin">
        <color theme="2" tint="-0.499984740745262"/>
      </left>
      <right/>
      <top/>
      <bottom/>
      <diagonal/>
    </border>
    <border>
      <left style="thin">
        <color theme="2" tint="-0.499984740745262"/>
      </left>
      <right/>
      <top/>
      <bottom style="thin">
        <color theme="2" tint="-0.499984740745262"/>
      </bottom>
      <diagonal/>
    </border>
    <border>
      <left/>
      <right style="thin">
        <color theme="2" tint="-0.499984740745262"/>
      </right>
      <top/>
      <bottom/>
      <diagonal/>
    </border>
    <border>
      <left/>
      <right style="thin">
        <color theme="2" tint="-0.499984740745262"/>
      </right>
      <top/>
      <bottom style="thin">
        <color theme="2" tint="-0.499984740745262"/>
      </bottom>
      <diagonal/>
    </border>
    <border>
      <left/>
      <right style="thin">
        <color theme="2" tint="-9.9978637043366805E-2"/>
      </right>
      <top/>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style="thin">
        <color theme="2" tint="-9.9978637043366805E-2"/>
      </left>
      <right style="thin">
        <color theme="2" tint="-9.9978637043366805E-2"/>
      </right>
      <top/>
      <bottom/>
      <diagonal/>
    </border>
    <border>
      <left style="thin">
        <color theme="2" tint="-9.9978637043366805E-2"/>
      </left>
      <right/>
      <top/>
      <bottom/>
      <diagonal/>
    </border>
    <border>
      <left style="thin">
        <color theme="2" tint="-9.9978637043366805E-2"/>
      </left>
      <right/>
      <top/>
      <bottom style="thin">
        <color theme="2" tint="-9.9978637043366805E-2"/>
      </bottom>
      <diagonal/>
    </border>
    <border>
      <left style="thin">
        <color theme="2"/>
      </left>
      <right/>
      <top/>
      <bottom style="thin">
        <color theme="2" tint="-9.9978637043366805E-2"/>
      </bottom>
      <diagonal/>
    </border>
  </borders>
  <cellStyleXfs count="3">
    <xf numFmtId="0" fontId="0" fillId="0" borderId="0"/>
    <xf numFmtId="43" fontId="20" fillId="0" borderId="0" applyFont="0" applyFill="0" applyBorder="0" applyAlignment="0" applyProtection="0"/>
    <xf numFmtId="9" fontId="20" fillId="0" borderId="0" applyFont="0" applyFill="0" applyBorder="0" applyAlignment="0" applyProtection="0"/>
  </cellStyleXfs>
  <cellXfs count="94">
    <xf numFmtId="0" fontId="0" fillId="0" borderId="0" xfId="0"/>
    <xf numFmtId="0" fontId="0" fillId="0" borderId="2" xfId="0" applyBorder="1"/>
    <xf numFmtId="0" fontId="1" fillId="0" borderId="0" xfId="0" applyFont="1" applyAlignment="1">
      <alignment horizontal="left" indent="1"/>
    </xf>
    <xf numFmtId="0" fontId="1" fillId="0" borderId="1" xfId="0" applyFont="1" applyBorder="1" applyAlignment="1">
      <alignment horizontal="left" indent="1"/>
    </xf>
    <xf numFmtId="0" fontId="4" fillId="0" borderId="0" xfId="0" applyFont="1" applyAlignment="1">
      <alignment horizontal="left" indent="1"/>
    </xf>
    <xf numFmtId="0" fontId="5" fillId="0" borderId="0" xfId="0" applyFont="1"/>
    <xf numFmtId="44" fontId="4" fillId="0" borderId="1" xfId="0" applyNumberFormat="1" applyFont="1" applyBorder="1"/>
    <xf numFmtId="164" fontId="2" fillId="3" borderId="0" xfId="0" applyNumberFormat="1" applyFont="1" applyFill="1" applyAlignment="1">
      <alignment horizontal="center"/>
    </xf>
    <xf numFmtId="0" fontId="2" fillId="3" borderId="0" xfId="0" applyFont="1" applyFill="1" applyAlignment="1">
      <alignment horizontal="center"/>
    </xf>
    <xf numFmtId="44" fontId="6" fillId="0" borderId="1" xfId="0" applyNumberFormat="1" applyFont="1" applyBorder="1"/>
    <xf numFmtId="44" fontId="7" fillId="0" borderId="1" xfId="0" applyNumberFormat="1" applyFont="1" applyBorder="1"/>
    <xf numFmtId="0" fontId="1" fillId="4" borderId="0" xfId="0" applyFont="1" applyFill="1" applyAlignment="1">
      <alignment horizontal="left" indent="1"/>
    </xf>
    <xf numFmtId="164" fontId="2" fillId="4" borderId="0" xfId="0" applyNumberFormat="1" applyFont="1" applyFill="1" applyAlignment="1">
      <alignment horizontal="center"/>
    </xf>
    <xf numFmtId="0" fontId="2" fillId="4" borderId="0" xfId="0" applyFont="1" applyFill="1" applyAlignment="1">
      <alignment horizontal="center"/>
    </xf>
    <xf numFmtId="0" fontId="1" fillId="5" borderId="0" xfId="0" applyFont="1" applyFill="1" applyAlignment="1">
      <alignment horizontal="left" indent="1"/>
    </xf>
    <xf numFmtId="164" fontId="2" fillId="5" borderId="0" xfId="0" applyNumberFormat="1" applyFont="1" applyFill="1" applyAlignment="1">
      <alignment horizontal="center"/>
    </xf>
    <xf numFmtId="0" fontId="2" fillId="5" borderId="0" xfId="0" applyFont="1" applyFill="1" applyAlignment="1">
      <alignment horizontal="center"/>
    </xf>
    <xf numFmtId="0" fontId="8" fillId="0" borderId="0" xfId="0" applyFont="1"/>
    <xf numFmtId="44" fontId="0" fillId="0" borderId="1" xfId="0" applyNumberFormat="1" applyBorder="1"/>
    <xf numFmtId="164" fontId="0" fillId="0" borderId="1" xfId="0" applyNumberFormat="1" applyBorder="1" applyAlignment="1">
      <alignment horizontal="center"/>
    </xf>
    <xf numFmtId="0" fontId="0" fillId="5" borderId="0" xfId="0" applyFill="1"/>
    <xf numFmtId="0" fontId="10" fillId="5" borderId="0" xfId="0" applyFont="1" applyFill="1" applyAlignment="1">
      <alignment horizontal="left" indent="1"/>
    </xf>
    <xf numFmtId="0" fontId="11" fillId="6" borderId="0" xfId="0" applyFont="1" applyFill="1" applyAlignment="1">
      <alignment horizontal="left" indent="1"/>
    </xf>
    <xf numFmtId="0" fontId="0" fillId="7" borderId="4" xfId="0" applyFill="1" applyBorder="1"/>
    <xf numFmtId="0" fontId="0" fillId="7" borderId="0" xfId="0" applyFill="1"/>
    <xf numFmtId="0" fontId="0" fillId="7" borderId="6" xfId="0" applyFill="1" applyBorder="1"/>
    <xf numFmtId="0" fontId="1" fillId="7" borderId="0" xfId="0" applyFont="1" applyFill="1"/>
    <xf numFmtId="0" fontId="3" fillId="7" borderId="0" xfId="0" applyFont="1" applyFill="1"/>
    <xf numFmtId="0" fontId="0" fillId="7" borderId="5" xfId="0" applyFill="1" applyBorder="1"/>
    <xf numFmtId="0" fontId="0" fillId="7" borderId="3" xfId="0" applyFill="1" applyBorder="1"/>
    <xf numFmtId="0" fontId="0" fillId="7" borderId="7" xfId="0" applyFill="1" applyBorder="1"/>
    <xf numFmtId="0" fontId="0" fillId="8" borderId="0" xfId="0" applyFill="1" applyAlignment="1">
      <alignment horizontal="center"/>
    </xf>
    <xf numFmtId="0" fontId="13" fillId="7" borderId="0" xfId="0" applyFont="1" applyFill="1"/>
    <xf numFmtId="0" fontId="0" fillId="8" borderId="0" xfId="0" applyFill="1" applyAlignment="1">
      <alignment horizontal="center" vertical="center"/>
    </xf>
    <xf numFmtId="0" fontId="14" fillId="6" borderId="0" xfId="0" applyFont="1" applyFill="1"/>
    <xf numFmtId="165" fontId="0" fillId="7" borderId="0" xfId="0" applyNumberFormat="1" applyFill="1"/>
    <xf numFmtId="14" fontId="0" fillId="7" borderId="0" xfId="0" applyNumberFormat="1" applyFill="1"/>
    <xf numFmtId="14" fontId="0" fillId="0" borderId="0" xfId="0" applyNumberFormat="1" applyAlignment="1">
      <alignment horizontal="left" indent="1"/>
    </xf>
    <xf numFmtId="0" fontId="0" fillId="0" borderId="0" xfId="0" applyAlignment="1">
      <alignment horizontal="left" indent="1"/>
    </xf>
    <xf numFmtId="165" fontId="0" fillId="0" borderId="0" xfId="0" applyNumberFormat="1" applyAlignment="1">
      <alignment horizontal="right" indent="1"/>
    </xf>
    <xf numFmtId="165" fontId="12" fillId="0" borderId="0" xfId="0" applyNumberFormat="1" applyFont="1" applyAlignment="1">
      <alignment horizontal="left" indent="1"/>
    </xf>
    <xf numFmtId="14" fontId="14" fillId="0" borderId="0" xfId="0" applyNumberFormat="1" applyFont="1" applyAlignment="1">
      <alignment horizontal="left" indent="1"/>
    </xf>
    <xf numFmtId="0" fontId="0" fillId="7" borderId="9" xfId="0" applyFill="1" applyBorder="1"/>
    <xf numFmtId="165" fontId="0" fillId="7" borderId="9" xfId="0" applyNumberFormat="1" applyFill="1" applyBorder="1"/>
    <xf numFmtId="0" fontId="0" fillId="7" borderId="10" xfId="0" applyFill="1" applyBorder="1"/>
    <xf numFmtId="0" fontId="0" fillId="10" borderId="0" xfId="0" applyFill="1"/>
    <xf numFmtId="0" fontId="18" fillId="10" borderId="0" xfId="0" applyFont="1" applyFill="1" applyAlignment="1">
      <alignment horizontal="center" vertical="center"/>
    </xf>
    <xf numFmtId="0" fontId="0" fillId="7" borderId="13" xfId="0" applyFill="1" applyBorder="1" applyAlignment="1">
      <alignment horizontal="center"/>
    </xf>
    <xf numFmtId="0" fontId="0" fillId="7" borderId="14" xfId="0" applyFill="1" applyBorder="1" applyAlignment="1">
      <alignment horizontal="center"/>
    </xf>
    <xf numFmtId="0" fontId="2" fillId="11" borderId="0" xfId="0" applyFont="1" applyFill="1" applyAlignment="1">
      <alignment horizontal="center"/>
    </xf>
    <xf numFmtId="164" fontId="0" fillId="7" borderId="13" xfId="0" applyNumberFormat="1" applyFill="1" applyBorder="1" applyAlignment="1">
      <alignment horizontal="center"/>
    </xf>
    <xf numFmtId="164" fontId="0" fillId="7" borderId="14" xfId="0" applyNumberFormat="1" applyFill="1" applyBorder="1" applyAlignment="1">
      <alignment horizontal="center"/>
    </xf>
    <xf numFmtId="1" fontId="0" fillId="7" borderId="0" xfId="0" applyNumberFormat="1" applyFill="1"/>
    <xf numFmtId="0" fontId="0" fillId="7" borderId="0" xfId="0" applyFill="1" applyAlignment="1">
      <alignment horizontal="right"/>
    </xf>
    <xf numFmtId="0" fontId="19" fillId="10" borderId="0" xfId="0" applyFont="1" applyFill="1" applyAlignment="1">
      <alignment vertical="center"/>
    </xf>
    <xf numFmtId="0" fontId="0" fillId="11" borderId="0" xfId="0" applyFill="1"/>
    <xf numFmtId="0" fontId="0" fillId="6" borderId="0" xfId="0" applyFill="1"/>
    <xf numFmtId="0" fontId="0" fillId="7" borderId="18" xfId="0" applyFill="1" applyBorder="1"/>
    <xf numFmtId="0" fontId="0" fillId="10" borderId="15" xfId="0" applyFill="1" applyBorder="1" applyAlignment="1">
      <alignment horizontal="center"/>
    </xf>
    <xf numFmtId="0" fontId="0" fillId="10" borderId="16" xfId="0" applyFill="1" applyBorder="1" applyAlignment="1">
      <alignment horizontal="center"/>
    </xf>
    <xf numFmtId="0" fontId="0" fillId="10" borderId="17" xfId="0" applyFill="1" applyBorder="1" applyAlignment="1">
      <alignment horizontal="center"/>
    </xf>
    <xf numFmtId="0" fontId="0" fillId="7" borderId="8" xfId="0" applyFill="1" applyBorder="1"/>
    <xf numFmtId="0" fontId="0" fillId="7" borderId="20" xfId="0" applyFill="1" applyBorder="1"/>
    <xf numFmtId="0" fontId="0" fillId="7" borderId="21" xfId="0" applyFill="1" applyBorder="1"/>
    <xf numFmtId="0" fontId="0" fillId="7" borderId="22" xfId="0" applyFill="1" applyBorder="1"/>
    <xf numFmtId="0" fontId="0" fillId="6" borderId="20" xfId="0" applyFill="1" applyBorder="1"/>
    <xf numFmtId="0" fontId="0" fillId="6" borderId="8" xfId="0" applyFill="1" applyBorder="1"/>
    <xf numFmtId="0" fontId="0" fillId="7" borderId="19" xfId="0" applyFill="1" applyBorder="1"/>
    <xf numFmtId="0" fontId="21" fillId="7" borderId="0" xfId="0" applyFont="1" applyFill="1" applyAlignment="1">
      <alignment vertical="center"/>
    </xf>
    <xf numFmtId="9" fontId="21" fillId="7" borderId="0" xfId="2" applyFont="1" applyFill="1" applyAlignment="1">
      <alignment horizontal="center" vertical="center"/>
    </xf>
    <xf numFmtId="166" fontId="21" fillId="7" borderId="0" xfId="1" applyNumberFormat="1" applyFont="1" applyFill="1" applyAlignment="1">
      <alignment horizontal="center" vertical="center"/>
    </xf>
    <xf numFmtId="0" fontId="22" fillId="10" borderId="0" xfId="0" applyFont="1" applyFill="1"/>
    <xf numFmtId="43" fontId="0" fillId="7" borderId="0" xfId="0" applyNumberFormat="1" applyFill="1"/>
    <xf numFmtId="0" fontId="1" fillId="7" borderId="0" xfId="0" applyFont="1" applyFill="1" applyAlignment="1">
      <alignment horizontal="center" vertical="center"/>
    </xf>
    <xf numFmtId="14" fontId="0" fillId="7" borderId="0" xfId="0" applyNumberFormat="1" applyFill="1" applyAlignment="1">
      <alignment horizontal="center" vertical="center"/>
    </xf>
    <xf numFmtId="0" fontId="0" fillId="7" borderId="0" xfId="0" applyFill="1" applyAlignment="1">
      <alignment horizontal="right" vertical="center"/>
    </xf>
    <xf numFmtId="0" fontId="0" fillId="7" borderId="0" xfId="0" applyFill="1" applyAlignment="1">
      <alignment horizontal="center" vertical="center"/>
    </xf>
    <xf numFmtId="165" fontId="0" fillId="7" borderId="0" xfId="0" applyNumberFormat="1" applyFill="1" applyAlignment="1">
      <alignment horizontal="center" vertical="center"/>
    </xf>
    <xf numFmtId="0" fontId="23" fillId="0" borderId="0" xfId="0" applyFont="1" applyAlignment="1">
      <alignment horizontal="center"/>
    </xf>
    <xf numFmtId="0" fontId="1" fillId="0" borderId="0" xfId="0" applyFont="1" applyAlignment="1">
      <alignment horizontal="center"/>
    </xf>
    <xf numFmtId="0" fontId="0" fillId="0" borderId="0" xfId="0">
      <extLst>
        <ext xmlns:xfpb="http://schemas.microsoft.com/office/spreadsheetml/2022/featurepropertybag" uri="{C7286773-470A-42A8-94C5-96B5CB345126}">
          <xfpb:xfComplement i="0"/>
        </ext>
      </extLst>
    </xf>
    <xf numFmtId="0" fontId="9" fillId="5" borderId="0" xfId="0" applyFont="1" applyFill="1" applyAlignment="1">
      <alignment horizontal="center" vertical="center"/>
    </xf>
    <xf numFmtId="0" fontId="1" fillId="7" borderId="0" xfId="0" applyFont="1" applyFill="1" applyAlignment="1">
      <alignment horizontal="center" vertical="center"/>
    </xf>
    <xf numFmtId="0" fontId="2" fillId="2" borderId="0" xfId="0" applyFont="1" applyFill="1" applyAlignment="1">
      <alignment horizontal="center"/>
    </xf>
    <xf numFmtId="0" fontId="2" fillId="11" borderId="0" xfId="0" applyFont="1" applyFill="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17" fillId="7" borderId="0" xfId="0" applyFont="1" applyFill="1" applyAlignment="1">
      <alignment horizontal="left"/>
    </xf>
    <xf numFmtId="0" fontId="0" fillId="9" borderId="0" xfId="0" applyFill="1" applyAlignment="1">
      <alignment horizontal="center"/>
    </xf>
    <xf numFmtId="164" fontId="0" fillId="9" borderId="0" xfId="0" applyNumberFormat="1" applyFill="1" applyAlignment="1">
      <alignment horizontal="center"/>
    </xf>
    <xf numFmtId="0" fontId="18" fillId="10" borderId="0" xfId="0" applyFont="1" applyFill="1" applyAlignment="1">
      <alignment horizontal="center" vertical="center"/>
    </xf>
    <xf numFmtId="0" fontId="15" fillId="6" borderId="0" xfId="0" applyFont="1" applyFill="1" applyAlignment="1">
      <alignment horizontal="left" indent="1"/>
    </xf>
    <xf numFmtId="0" fontId="16" fillId="5" borderId="0" xfId="0" applyFont="1" applyFill="1" applyAlignment="1">
      <alignment horizontal="left" vertical="center" indent="2"/>
    </xf>
    <xf numFmtId="0" fontId="3" fillId="7" borderId="0" xfId="0" applyFont="1" applyFill="1" applyAlignment="1">
      <alignment horizontal="left" vertical="top" wrapText="1"/>
    </xf>
  </cellXfs>
  <cellStyles count="3">
    <cellStyle name="Comma" xfId="1" builtinId="3"/>
    <cellStyle name="Normal" xfId="0" builtinId="0"/>
    <cellStyle name="Percent" xfId="2" builtinId="5"/>
  </cellStyles>
  <dxfs count="35">
    <dxf>
      <font>
        <color theme="2" tint="-0.499984740745262"/>
      </font>
      <fill>
        <patternFill patternType="solid">
          <bgColor theme="2" tint="-9.9978637043366805E-2"/>
        </patternFill>
      </fill>
    </dxf>
    <dxf>
      <fill>
        <patternFill>
          <bgColor theme="7" tint="0.59996337778862885"/>
        </patternFill>
      </fill>
    </dxf>
    <dxf>
      <fill>
        <patternFill>
          <bgColor rgb="FFFF7C80"/>
        </patternFill>
      </fill>
    </dxf>
    <dxf>
      <fill>
        <patternFill>
          <bgColor theme="6" tint="0.59996337778862885"/>
        </patternFill>
      </fill>
    </dxf>
    <dxf>
      <font>
        <b/>
        <i val="0"/>
      </font>
      <border>
        <top style="thin">
          <color auto="1"/>
        </top>
        <vertical/>
        <horizontal/>
      </border>
    </dxf>
    <dxf>
      <font>
        <b/>
        <i val="0"/>
        <color theme="0"/>
      </font>
      <fill>
        <patternFill>
          <bgColor rgb="FF0070C0"/>
        </patternFill>
      </fill>
    </dxf>
    <dxf>
      <font>
        <b/>
        <i val="0"/>
        <color theme="0"/>
      </font>
      <fill>
        <patternFill>
          <bgColor rgb="FFFF0000"/>
        </patternFill>
      </fill>
    </dxf>
    <dxf>
      <font>
        <b/>
        <i val="0"/>
        <color theme="0"/>
      </font>
      <fill>
        <patternFill>
          <bgColor rgb="FF00B050"/>
        </patternFill>
      </fill>
    </dxf>
    <dxf>
      <font>
        <color theme="2" tint="-0.499984740745262"/>
      </font>
      <fill>
        <patternFill patternType="solid">
          <bgColor theme="3" tint="0.89999084444715716"/>
        </patternFill>
      </fill>
    </dxf>
    <dxf>
      <font>
        <b/>
        <i val="0"/>
        <color rgb="FF00B050"/>
      </font>
    </dxf>
    <dxf>
      <font>
        <color rgb="FFFF0000"/>
      </font>
    </dxf>
    <dxf>
      <font>
        <color theme="2" tint="-0.249977111117893"/>
      </font>
    </dxf>
    <dxf>
      <font>
        <color rgb="FFFF0000"/>
      </font>
    </dxf>
    <dxf>
      <font>
        <color rgb="FF00B050"/>
      </font>
    </dxf>
    <dxf>
      <font>
        <color theme="1"/>
      </font>
      <fill>
        <patternFill patternType="solid">
          <bgColor theme="7" tint="0.79998168889431442"/>
        </patternFill>
      </fill>
      <border>
        <left style="thin">
          <color rgb="FF9C0006"/>
        </left>
        <right style="thin">
          <color rgb="FF9C0006"/>
        </right>
        <top style="thin">
          <color rgb="FF9C0006"/>
        </top>
        <bottom style="thin">
          <color rgb="FF9C0006"/>
        </bottom>
      </border>
    </dxf>
    <dxf>
      <font>
        <color theme="1"/>
      </font>
      <fill>
        <patternFill patternType="solid">
          <bgColor rgb="FFFFBFBF"/>
        </patternFill>
      </fill>
      <border>
        <left style="thin">
          <color rgb="FF9C0006"/>
        </left>
        <right style="thin">
          <color rgb="FF9C0006"/>
        </right>
        <top style="thin">
          <color rgb="FF9C0006"/>
        </top>
        <bottom style="thin">
          <color rgb="FF9C0006"/>
        </bottom>
      </border>
    </dxf>
    <dxf>
      <font>
        <color theme="1"/>
      </font>
      <fill>
        <patternFill patternType="solid">
          <bgColor theme="9" tint="0.79998168889431442"/>
        </patternFill>
      </fill>
      <border>
        <left style="thin">
          <color rgb="FF9C0006"/>
        </left>
        <right style="thin">
          <color rgb="FF9C0006"/>
        </right>
        <top style="thin">
          <color rgb="FF9C0006"/>
        </top>
        <bottom style="thin">
          <color rgb="FF9C0006"/>
        </bottom>
      </border>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249977111117893"/>
        </patternFill>
      </fill>
      <alignment horizontal="left" vertical="bottom" textRotation="0" wrapText="0" indent="1" justifyLastLine="0" shrinkToFit="0" readingOrder="0"/>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C00000"/>
        </patternFill>
      </fill>
      <alignment horizontal="left" vertical="bottom" textRotation="0" wrapText="0" indent="1" justifyLastLine="0" shrinkToFit="0" readingOrder="0"/>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1" tint="0.499984740745262"/>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ont>
        <color theme="0" tint="-0.249977111117893"/>
      </font>
      <numFmt numFmtId="19" formatCode="m/d/yyyy"/>
      <fill>
        <patternFill patternType="none">
          <fgColor indexed="64"/>
          <bgColor theme="2"/>
        </patternFill>
      </fill>
      <alignment horizontal="left" relativeIndent="1"/>
    </dxf>
    <dxf>
      <font>
        <color theme="2" tint="-0.499984740745262"/>
      </font>
      <numFmt numFmtId="165" formatCode="_([$$-409]* #,##0.00_);_([$$-409]* \(#,##0.00\);_([$$-409]* &quot;-&quot;??_);_(@_)"/>
      <fill>
        <patternFill patternType="none">
          <fgColor indexed="64"/>
          <bgColor theme="2"/>
        </patternFill>
      </fill>
      <alignment horizontal="left" relativeIndent="1"/>
    </dxf>
    <dxf>
      <fill>
        <patternFill patternType="none">
          <fgColor indexed="64"/>
          <bgColor theme="2"/>
        </patternFill>
      </fill>
      <alignment horizontal="left" vertical="bottom" textRotation="0" wrapText="0" indent="1" justifyLastLine="0" shrinkToFit="0" readingOrder="0"/>
    </dxf>
    <dxf>
      <numFmt numFmtId="165" formatCode="_([$$-409]* #,##0.00_);_([$$-409]* \(#,##0.00\);_([$$-409]* &quot;-&quot;??_);_(@_)"/>
      <fill>
        <patternFill patternType="none">
          <fgColor indexed="64"/>
          <bgColor theme="2"/>
        </patternFill>
      </fill>
      <alignment horizontal="right" relativeIndent="1"/>
    </dxf>
    <dxf>
      <numFmt numFmtId="0" formatCode="General"/>
      <fill>
        <patternFill patternType="none">
          <fgColor indexed="64"/>
          <bgColor theme="2"/>
        </patternFill>
      </fill>
      <alignment horizontal="left" relativeIndent="1"/>
    </dxf>
    <dxf>
      <fill>
        <patternFill patternType="none">
          <fgColor indexed="64"/>
          <bgColor theme="2"/>
        </patternFill>
      </fill>
      <alignment horizontal="left" relativeIndent="1"/>
    </dxf>
    <dxf>
      <numFmt numFmtId="19" formatCode="m/d/yyyy"/>
      <fill>
        <patternFill patternType="none">
          <fgColor indexed="64"/>
          <bgColor theme="2"/>
        </patternFill>
      </fill>
      <alignment horizontal="left" relativeIndent="1"/>
    </dxf>
    <dxf>
      <fill>
        <patternFill patternType="none">
          <fgColor indexed="64"/>
          <bgColor theme="2"/>
        </patternFill>
      </fill>
      <alignment horizontal="left" relativeIndent="1"/>
    </dxf>
    <dxf>
      <font>
        <sz val="10"/>
        <color theme="0"/>
      </font>
      <fill>
        <patternFill patternType="solid">
          <fgColor indexed="64"/>
          <bgColor theme="0"/>
        </patternFill>
      </fill>
      <alignment horizontal="left" relativeIndent="1"/>
    </dxf>
  </dxfs>
  <tableStyles count="0" defaultTableStyle="TableStyleMedium2" defaultPivotStyle="PivotStyleMedium9"/>
  <colors>
    <mruColors>
      <color rgb="FFFF7C80"/>
      <color rgb="FFFFBDBD"/>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552450</xdr:colOff>
      <xdr:row>4</xdr:row>
      <xdr:rowOff>142875</xdr:rowOff>
    </xdr:from>
    <xdr:to>
      <xdr:col>1</xdr:col>
      <xdr:colOff>1466850</xdr:colOff>
      <xdr:row>8</xdr:row>
      <xdr:rowOff>76200</xdr:rowOff>
    </xdr:to>
    <xdr:sp macro="" textlink="">
      <xdr:nvSpPr>
        <xdr:cNvPr id="2" name="Rectangle: Rounded Corners 1">
          <a:extLst>
            <a:ext uri="{FF2B5EF4-FFF2-40B4-BE49-F238E27FC236}">
              <a16:creationId xmlns:a16="http://schemas.microsoft.com/office/drawing/2014/main" id="{34FC6C3D-1681-E225-99BD-AD57CB15EC6E}"/>
            </a:ext>
          </a:extLst>
        </xdr:cNvPr>
        <xdr:cNvSpPr/>
      </xdr:nvSpPr>
      <xdr:spPr>
        <a:xfrm>
          <a:off x="552450" y="904875"/>
          <a:ext cx="1524000" cy="695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1/13/2026</a:t>
          </a:r>
        </a:p>
      </xdr:txBody>
    </xdr:sp>
    <xdr:clientData/>
  </xdr:twoCellAnchor>
  <xdr:twoCellAnchor>
    <xdr:from>
      <xdr:col>2</xdr:col>
      <xdr:colOff>76199</xdr:colOff>
      <xdr:row>4</xdr:row>
      <xdr:rowOff>142875</xdr:rowOff>
    </xdr:from>
    <xdr:to>
      <xdr:col>3</xdr:col>
      <xdr:colOff>1571624</xdr:colOff>
      <xdr:row>8</xdr:row>
      <xdr:rowOff>76200</xdr:rowOff>
    </xdr:to>
    <xdr:sp macro="" textlink="">
      <xdr:nvSpPr>
        <xdr:cNvPr id="3" name="Rectangle: Rounded Corners 2">
          <a:extLst>
            <a:ext uri="{FF2B5EF4-FFF2-40B4-BE49-F238E27FC236}">
              <a16:creationId xmlns:a16="http://schemas.microsoft.com/office/drawing/2014/main" id="{5156D70A-2DB5-4B3B-B22A-310C50F27F15}"/>
            </a:ext>
          </a:extLst>
        </xdr:cNvPr>
        <xdr:cNvSpPr/>
      </xdr:nvSpPr>
      <xdr:spPr>
        <a:xfrm>
          <a:off x="2200274" y="904875"/>
          <a:ext cx="2733675" cy="695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1/11/2026</a:t>
          </a:r>
        </a:p>
      </xdr:txBody>
    </xdr:sp>
    <xdr:clientData/>
  </xdr:twoCellAnchor>
  <xdr:twoCellAnchor>
    <xdr:from>
      <xdr:col>1</xdr:col>
      <xdr:colOff>228600</xdr:colOff>
      <xdr:row>5</xdr:row>
      <xdr:rowOff>19050</xdr:rowOff>
    </xdr:from>
    <xdr:to>
      <xdr:col>1</xdr:col>
      <xdr:colOff>1295400</xdr:colOff>
      <xdr:row>6</xdr:row>
      <xdr:rowOff>114300</xdr:rowOff>
    </xdr:to>
    <xdr:sp macro="" textlink="">
      <xdr:nvSpPr>
        <xdr:cNvPr id="7" name="TextBox 6">
          <a:extLst>
            <a:ext uri="{FF2B5EF4-FFF2-40B4-BE49-F238E27FC236}">
              <a16:creationId xmlns:a16="http://schemas.microsoft.com/office/drawing/2014/main" id="{F3D00E1B-97EF-4722-94D5-D3ED2E3E9764}"/>
            </a:ext>
          </a:extLst>
        </xdr:cNvPr>
        <xdr:cNvSpPr txBox="1"/>
      </xdr:nvSpPr>
      <xdr:spPr>
        <a:xfrm>
          <a:off x="838200" y="971550"/>
          <a:ext cx="1066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a:t>
          </a:r>
          <a:r>
            <a:rPr lang="en-US" sz="1100" b="1" baseline="0"/>
            <a:t> Today</a:t>
          </a:r>
          <a:endParaRPr lang="en-US" sz="1100" b="1"/>
        </a:p>
        <a:p>
          <a:endParaRPr lang="en-US" sz="1100" b="1"/>
        </a:p>
      </xdr:txBody>
    </xdr:sp>
    <xdr:clientData/>
  </xdr:twoCellAnchor>
  <xdr:twoCellAnchor>
    <xdr:from>
      <xdr:col>1</xdr:col>
      <xdr:colOff>304800</xdr:colOff>
      <xdr:row>6</xdr:row>
      <xdr:rowOff>123825</xdr:rowOff>
    </xdr:from>
    <xdr:to>
      <xdr:col>1</xdr:col>
      <xdr:colOff>1295400</xdr:colOff>
      <xdr:row>8</xdr:row>
      <xdr:rowOff>19050</xdr:rowOff>
    </xdr:to>
    <xdr:sp macro="" textlink="Calculation!E8">
      <xdr:nvSpPr>
        <xdr:cNvPr id="8" name="TextBox 7">
          <a:extLst>
            <a:ext uri="{FF2B5EF4-FFF2-40B4-BE49-F238E27FC236}">
              <a16:creationId xmlns:a16="http://schemas.microsoft.com/office/drawing/2014/main" id="{76DDEC14-A35F-4EAC-82C3-826907BF7489}"/>
            </a:ext>
          </a:extLst>
        </xdr:cNvPr>
        <xdr:cNvSpPr txBox="1"/>
      </xdr:nvSpPr>
      <xdr:spPr>
        <a:xfrm>
          <a:off x="914400" y="1266825"/>
          <a:ext cx="990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05E83F-67F0-419D-8EE7-CAD9FE8071B2}" type="TxLink">
            <a:rPr lang="en-US" sz="1100" b="1" i="0" u="none" strike="noStrike">
              <a:solidFill>
                <a:srgbClr val="000000"/>
              </a:solidFill>
              <a:latin typeface="Aptos Narrow"/>
            </a:rPr>
            <a:pPr/>
            <a:t>2/19/2026</a:t>
          </a:fld>
          <a:endParaRPr lang="en-US" sz="1100" b="1">
            <a:solidFill>
              <a:schemeClr val="tx1"/>
            </a:solidFill>
          </a:endParaRPr>
        </a:p>
      </xdr:txBody>
    </xdr:sp>
    <xdr:clientData/>
  </xdr:twoCellAnchor>
  <xdr:twoCellAnchor>
    <xdr:from>
      <xdr:col>2</xdr:col>
      <xdr:colOff>781049</xdr:colOff>
      <xdr:row>5</xdr:row>
      <xdr:rowOff>19050</xdr:rowOff>
    </xdr:from>
    <xdr:to>
      <xdr:col>3</xdr:col>
      <xdr:colOff>866774</xdr:colOff>
      <xdr:row>6</xdr:row>
      <xdr:rowOff>114300</xdr:rowOff>
    </xdr:to>
    <xdr:sp macro="" textlink="">
      <xdr:nvSpPr>
        <xdr:cNvPr id="9" name="TextBox 8">
          <a:extLst>
            <a:ext uri="{FF2B5EF4-FFF2-40B4-BE49-F238E27FC236}">
              <a16:creationId xmlns:a16="http://schemas.microsoft.com/office/drawing/2014/main" id="{FB334282-C203-4E26-8D22-5E2E007708BD}"/>
            </a:ext>
          </a:extLst>
        </xdr:cNvPr>
        <xdr:cNvSpPr txBox="1"/>
      </xdr:nvSpPr>
      <xdr:spPr>
        <a:xfrm>
          <a:off x="2905124" y="971550"/>
          <a:ext cx="1323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a:t>
          </a:r>
          <a:r>
            <a:rPr lang="en-US" sz="1100" b="1" baseline="0"/>
            <a:t> Last Record</a:t>
          </a:r>
          <a:endParaRPr lang="en-US" sz="1100" b="1"/>
        </a:p>
        <a:p>
          <a:endParaRPr lang="en-US" sz="1100" b="1"/>
        </a:p>
      </xdr:txBody>
    </xdr:sp>
    <xdr:clientData/>
  </xdr:twoCellAnchor>
  <xdr:twoCellAnchor>
    <xdr:from>
      <xdr:col>2</xdr:col>
      <xdr:colOff>180975</xdr:colOff>
      <xdr:row>6</xdr:row>
      <xdr:rowOff>123825</xdr:rowOff>
    </xdr:from>
    <xdr:to>
      <xdr:col>3</xdr:col>
      <xdr:colOff>1323975</xdr:colOff>
      <xdr:row>8</xdr:row>
      <xdr:rowOff>19050</xdr:rowOff>
    </xdr:to>
    <xdr:sp macro="" textlink="Calculation!E8">
      <xdr:nvSpPr>
        <xdr:cNvPr id="10" name="TextBox 9">
          <a:extLst>
            <a:ext uri="{FF2B5EF4-FFF2-40B4-BE49-F238E27FC236}">
              <a16:creationId xmlns:a16="http://schemas.microsoft.com/office/drawing/2014/main" id="{243F6B7E-F53A-4251-BEA8-8D47AB934F97}"/>
            </a:ext>
          </a:extLst>
        </xdr:cNvPr>
        <xdr:cNvSpPr txBox="1"/>
      </xdr:nvSpPr>
      <xdr:spPr>
        <a:xfrm>
          <a:off x="2305050" y="1266825"/>
          <a:ext cx="2381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05E83F-67F0-419D-8EE7-CAD9FE8071B2}" type="TxLink">
            <a:rPr lang="en-US" sz="1100" b="1" i="0" u="none" strike="noStrike">
              <a:solidFill>
                <a:srgbClr val="000000"/>
              </a:solidFill>
              <a:latin typeface="Aptos Narrow"/>
            </a:rPr>
            <a:pPr/>
            <a:t>2/19/2026</a:t>
          </a:fld>
          <a:endParaRPr lang="en-US" sz="1100" b="1">
            <a:solidFill>
              <a:schemeClr val="tx1"/>
            </a:solidFill>
          </a:endParaRPr>
        </a:p>
      </xdr:txBody>
    </xdr:sp>
    <xdr:clientData/>
  </xdr:twoCellAnchor>
  <xdr:twoCellAnchor>
    <xdr:from>
      <xdr:col>3</xdr:col>
      <xdr:colOff>609599</xdr:colOff>
      <xdr:row>6</xdr:row>
      <xdr:rowOff>123825</xdr:rowOff>
    </xdr:from>
    <xdr:to>
      <xdr:col>3</xdr:col>
      <xdr:colOff>1543050</xdr:colOff>
      <xdr:row>8</xdr:row>
      <xdr:rowOff>19050</xdr:rowOff>
    </xdr:to>
    <xdr:sp macro="" textlink="Calculation!E10">
      <xdr:nvSpPr>
        <xdr:cNvPr id="11" name="TextBox 10">
          <a:extLst>
            <a:ext uri="{FF2B5EF4-FFF2-40B4-BE49-F238E27FC236}">
              <a16:creationId xmlns:a16="http://schemas.microsoft.com/office/drawing/2014/main" id="{3459BD0F-D0E4-42F2-82D6-41B05EC4C05F}"/>
            </a:ext>
          </a:extLst>
        </xdr:cNvPr>
        <xdr:cNvSpPr txBox="1"/>
      </xdr:nvSpPr>
      <xdr:spPr>
        <a:xfrm>
          <a:off x="3971924" y="1266825"/>
          <a:ext cx="9334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7EAF711-8ABF-4D20-BED7-E7B18CD262F6}" type="TxLink">
            <a:rPr lang="en-US" sz="1050" b="0" i="0" u="none" strike="noStrike">
              <a:solidFill>
                <a:schemeClr val="bg1">
                  <a:lumMod val="50000"/>
                </a:schemeClr>
              </a:solidFill>
              <a:latin typeface="Aptos Narrow"/>
            </a:rPr>
            <a:pPr/>
            <a:t>(1 days ago)</a:t>
          </a:fld>
          <a:endParaRPr lang="en-US" sz="1000" b="0">
            <a:solidFill>
              <a:schemeClr val="bg1">
                <a:lumMod val="50000"/>
              </a:schemeClr>
            </a:solidFill>
          </a:endParaRPr>
        </a:p>
      </xdr:txBody>
    </xdr:sp>
    <xdr:clientData/>
  </xdr:twoCellAnchor>
  <xdr:twoCellAnchor>
    <xdr:from>
      <xdr:col>4</xdr:col>
      <xdr:colOff>200024</xdr:colOff>
      <xdr:row>4</xdr:row>
      <xdr:rowOff>142875</xdr:rowOff>
    </xdr:from>
    <xdr:to>
      <xdr:col>5</xdr:col>
      <xdr:colOff>990600</xdr:colOff>
      <xdr:row>8</xdr:row>
      <xdr:rowOff>76200</xdr:rowOff>
    </xdr:to>
    <xdr:sp macro="" textlink="">
      <xdr:nvSpPr>
        <xdr:cNvPr id="12" name="Rectangle: Rounded Corners 11">
          <a:extLst>
            <a:ext uri="{FF2B5EF4-FFF2-40B4-BE49-F238E27FC236}">
              <a16:creationId xmlns:a16="http://schemas.microsoft.com/office/drawing/2014/main" id="{5CAC2A82-DBCF-4C1F-A7A3-FF22BB9E2823}"/>
            </a:ext>
          </a:extLst>
        </xdr:cNvPr>
        <xdr:cNvSpPr/>
      </xdr:nvSpPr>
      <xdr:spPr>
        <a:xfrm>
          <a:off x="5133974" y="904875"/>
          <a:ext cx="2362201" cy="695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1/11/2026</a:t>
          </a:r>
        </a:p>
      </xdr:txBody>
    </xdr:sp>
    <xdr:clientData/>
  </xdr:twoCellAnchor>
  <xdr:twoCellAnchor>
    <xdr:from>
      <xdr:col>4</xdr:col>
      <xdr:colOff>638175</xdr:colOff>
      <xdr:row>5</xdr:row>
      <xdr:rowOff>19050</xdr:rowOff>
    </xdr:from>
    <xdr:to>
      <xdr:col>5</xdr:col>
      <xdr:colOff>514350</xdr:colOff>
      <xdr:row>6</xdr:row>
      <xdr:rowOff>114300</xdr:rowOff>
    </xdr:to>
    <xdr:sp macro="" textlink="">
      <xdr:nvSpPr>
        <xdr:cNvPr id="13" name="TextBox 12">
          <a:extLst>
            <a:ext uri="{FF2B5EF4-FFF2-40B4-BE49-F238E27FC236}">
              <a16:creationId xmlns:a16="http://schemas.microsoft.com/office/drawing/2014/main" id="{94881317-D933-4A6F-A64F-45652015DD8C}"/>
            </a:ext>
          </a:extLst>
        </xdr:cNvPr>
        <xdr:cNvSpPr txBox="1"/>
      </xdr:nvSpPr>
      <xdr:spPr>
        <a:xfrm>
          <a:off x="5572125" y="971550"/>
          <a:ext cx="1447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of tracked Records</a:t>
          </a:r>
        </a:p>
      </xdr:txBody>
    </xdr:sp>
    <xdr:clientData/>
  </xdr:twoCellAnchor>
  <xdr:twoCellAnchor>
    <xdr:from>
      <xdr:col>4</xdr:col>
      <xdr:colOff>304800</xdr:colOff>
      <xdr:row>6</xdr:row>
      <xdr:rowOff>133350</xdr:rowOff>
    </xdr:from>
    <xdr:to>
      <xdr:col>5</xdr:col>
      <xdr:colOff>1114425</xdr:colOff>
      <xdr:row>8</xdr:row>
      <xdr:rowOff>28575</xdr:rowOff>
    </xdr:to>
    <xdr:sp macro="" textlink="E8">
      <xdr:nvSpPr>
        <xdr:cNvPr id="14" name="TextBox 13">
          <a:extLst>
            <a:ext uri="{FF2B5EF4-FFF2-40B4-BE49-F238E27FC236}">
              <a16:creationId xmlns:a16="http://schemas.microsoft.com/office/drawing/2014/main" id="{AC611EDE-15C2-4632-84D4-4306837FD136}"/>
            </a:ext>
          </a:extLst>
        </xdr:cNvPr>
        <xdr:cNvSpPr txBox="1"/>
      </xdr:nvSpPr>
      <xdr:spPr>
        <a:xfrm>
          <a:off x="5238750" y="1276350"/>
          <a:ext cx="2381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FE6A8A-FEEB-4477-8596-EEC9A86F65B6}" type="TxLink">
            <a:rPr lang="en-US" sz="1100" b="1" i="0" u="none" strike="noStrike">
              <a:solidFill>
                <a:srgbClr val="000000"/>
              </a:solidFill>
              <a:latin typeface="Aptos Narrow"/>
            </a:rPr>
            <a:pPr/>
            <a:t>122</a:t>
          </a:fld>
          <a:endParaRPr lang="en-US" sz="1100" b="1"/>
        </a:p>
      </xdr:txBody>
    </xdr:sp>
    <xdr:clientData/>
  </xdr:twoCellAnchor>
  <xdr:twoCellAnchor>
    <xdr:from>
      <xdr:col>5</xdr:col>
      <xdr:colOff>38100</xdr:colOff>
      <xdr:row>6</xdr:row>
      <xdr:rowOff>114300</xdr:rowOff>
    </xdr:from>
    <xdr:to>
      <xdr:col>5</xdr:col>
      <xdr:colOff>962025</xdr:colOff>
      <xdr:row>8</xdr:row>
      <xdr:rowOff>9525</xdr:rowOff>
    </xdr:to>
    <xdr:sp macro="" textlink="Calculation!E11">
      <xdr:nvSpPr>
        <xdr:cNvPr id="15" name="TextBox 14">
          <a:extLst>
            <a:ext uri="{FF2B5EF4-FFF2-40B4-BE49-F238E27FC236}">
              <a16:creationId xmlns:a16="http://schemas.microsoft.com/office/drawing/2014/main" id="{62687A74-8883-40E0-B7E6-3F844616EEF3}"/>
            </a:ext>
          </a:extLst>
        </xdr:cNvPr>
        <xdr:cNvSpPr txBox="1"/>
      </xdr:nvSpPr>
      <xdr:spPr>
        <a:xfrm>
          <a:off x="6543675" y="1257300"/>
          <a:ext cx="923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FF0DF3-6590-4B08-8E38-44BAB788999F}" type="TxLink">
            <a:rPr lang="en-US" sz="1050" b="0" i="0" u="none" strike="noStrike">
              <a:solidFill>
                <a:schemeClr val="bg1">
                  <a:lumMod val="50000"/>
                </a:schemeClr>
              </a:solidFill>
              <a:latin typeface="Aptos Narrow"/>
            </a:rPr>
            <a:pPr/>
            <a:t>(120 this year)</a:t>
          </a:fld>
          <a:endParaRPr lang="en-US" sz="1050" b="1">
            <a:solidFill>
              <a:schemeClr val="bg1">
                <a:lumMod val="50000"/>
              </a:schemeClr>
            </a:solidFill>
          </a:endParaRPr>
        </a:p>
      </xdr:txBody>
    </xdr:sp>
    <xdr:clientData/>
  </xdr:twoCellAnchor>
  <xdr:twoCellAnchor>
    <xdr:from>
      <xdr:col>5</xdr:col>
      <xdr:colOff>1228725</xdr:colOff>
      <xdr:row>4</xdr:row>
      <xdr:rowOff>142875</xdr:rowOff>
    </xdr:from>
    <xdr:to>
      <xdr:col>5</xdr:col>
      <xdr:colOff>4429125</xdr:colOff>
      <xdr:row>8</xdr:row>
      <xdr:rowOff>76200</xdr:rowOff>
    </xdr:to>
    <xdr:sp macro="" textlink="">
      <xdr:nvSpPr>
        <xdr:cNvPr id="4" name="Rectangle: Rounded Corners 3">
          <a:extLst>
            <a:ext uri="{FF2B5EF4-FFF2-40B4-BE49-F238E27FC236}">
              <a16:creationId xmlns:a16="http://schemas.microsoft.com/office/drawing/2014/main" id="{88DFAE14-F529-45AC-9A2C-9F80120B1AD4}"/>
            </a:ext>
          </a:extLst>
        </xdr:cNvPr>
        <xdr:cNvSpPr/>
      </xdr:nvSpPr>
      <xdr:spPr>
        <a:xfrm>
          <a:off x="7734300" y="904875"/>
          <a:ext cx="3200400" cy="695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1/11/2026</a:t>
          </a:r>
        </a:p>
      </xdr:txBody>
    </xdr:sp>
    <xdr:clientData/>
  </xdr:twoCellAnchor>
  <xdr:twoCellAnchor>
    <xdr:from>
      <xdr:col>5</xdr:col>
      <xdr:colOff>2069307</xdr:colOff>
      <xdr:row>5</xdr:row>
      <xdr:rowOff>19050</xdr:rowOff>
    </xdr:from>
    <xdr:to>
      <xdr:col>5</xdr:col>
      <xdr:colOff>3588544</xdr:colOff>
      <xdr:row>6</xdr:row>
      <xdr:rowOff>114300</xdr:rowOff>
    </xdr:to>
    <xdr:sp macro="" textlink="">
      <xdr:nvSpPr>
        <xdr:cNvPr id="5" name="TextBox 4">
          <a:extLst>
            <a:ext uri="{FF2B5EF4-FFF2-40B4-BE49-F238E27FC236}">
              <a16:creationId xmlns:a16="http://schemas.microsoft.com/office/drawing/2014/main" id="{2036EA29-7D74-4BB9-B0E0-76B5A63B0FD3}"/>
            </a:ext>
          </a:extLst>
        </xdr:cNvPr>
        <xdr:cNvSpPr txBox="1"/>
      </xdr:nvSpPr>
      <xdr:spPr>
        <a:xfrm>
          <a:off x="8574882" y="971550"/>
          <a:ext cx="15192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a:t>
          </a:r>
          <a:r>
            <a:rPr lang="en-US" sz="1100" b="1" baseline="0"/>
            <a:t>l Tracking Balance</a:t>
          </a:r>
        </a:p>
      </xdr:txBody>
    </xdr:sp>
    <xdr:clientData/>
  </xdr:twoCellAnchor>
  <xdr:twoCellAnchor>
    <xdr:from>
      <xdr:col>5</xdr:col>
      <xdr:colOff>1333500</xdr:colOff>
      <xdr:row>6</xdr:row>
      <xdr:rowOff>114300</xdr:rowOff>
    </xdr:from>
    <xdr:to>
      <xdr:col>5</xdr:col>
      <xdr:colOff>2133600</xdr:colOff>
      <xdr:row>8</xdr:row>
      <xdr:rowOff>9525</xdr:rowOff>
    </xdr:to>
    <xdr:sp macro="" textlink="Calculation!E12">
      <xdr:nvSpPr>
        <xdr:cNvPr id="6" name="TextBox 5">
          <a:extLst>
            <a:ext uri="{FF2B5EF4-FFF2-40B4-BE49-F238E27FC236}">
              <a16:creationId xmlns:a16="http://schemas.microsoft.com/office/drawing/2014/main" id="{EBFBFA7B-442A-4571-9D91-E7815B78650D}"/>
            </a:ext>
          </a:extLst>
        </xdr:cNvPr>
        <xdr:cNvSpPr txBox="1"/>
      </xdr:nvSpPr>
      <xdr:spPr>
        <a:xfrm>
          <a:off x="7839075" y="1257300"/>
          <a:ext cx="800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75D241-2BEC-45E7-8DCC-9218A25F3240}" type="TxLink">
            <a:rPr lang="en-US" sz="1100" b="1" i="0" u="none" strike="noStrike">
              <a:solidFill>
                <a:srgbClr val="000000"/>
              </a:solidFill>
              <a:latin typeface="Aptos Narrow"/>
            </a:rPr>
            <a:pPr/>
            <a:t> $2,513.36 </a:t>
          </a:fld>
          <a:endParaRPr lang="en-US" sz="1100" b="1"/>
        </a:p>
      </xdr:txBody>
    </xdr:sp>
    <xdr:clientData/>
  </xdr:twoCellAnchor>
  <xdr:twoCellAnchor>
    <xdr:from>
      <xdr:col>5</xdr:col>
      <xdr:colOff>2171700</xdr:colOff>
      <xdr:row>6</xdr:row>
      <xdr:rowOff>114300</xdr:rowOff>
    </xdr:from>
    <xdr:to>
      <xdr:col>5</xdr:col>
      <xdr:colOff>4391025</xdr:colOff>
      <xdr:row>8</xdr:row>
      <xdr:rowOff>9525</xdr:rowOff>
    </xdr:to>
    <xdr:sp macro="" textlink="Calculation!E16">
      <xdr:nvSpPr>
        <xdr:cNvPr id="16" name="TextBox 15">
          <a:extLst>
            <a:ext uri="{FF2B5EF4-FFF2-40B4-BE49-F238E27FC236}">
              <a16:creationId xmlns:a16="http://schemas.microsoft.com/office/drawing/2014/main" id="{33593B97-86C8-4E42-A55A-47BFC3ABA6EA}"/>
            </a:ext>
          </a:extLst>
        </xdr:cNvPr>
        <xdr:cNvSpPr txBox="1"/>
      </xdr:nvSpPr>
      <xdr:spPr>
        <a:xfrm>
          <a:off x="8677275" y="1257300"/>
          <a:ext cx="22193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0E02124-0EBD-44EB-A035-D374463ABD9B}" type="TxLink">
            <a:rPr lang="en-US" sz="1050" b="0" i="0" u="none" strike="noStrike">
              <a:solidFill>
                <a:schemeClr val="bg1">
                  <a:lumMod val="50000"/>
                </a:schemeClr>
              </a:solidFill>
              <a:latin typeface="Aptos Narrow"/>
            </a:rPr>
            <a:pPr/>
            <a:t>of tracked income left to be allocated</a:t>
          </a:fld>
          <a:endParaRPr lang="en-US" sz="1000" b="1">
            <a:solidFill>
              <a:schemeClr val="bg1">
                <a:lumMod val="50000"/>
              </a:schemeClr>
            </a:solidFill>
          </a:endParaRPr>
        </a:p>
      </xdr:txBody>
    </xdr:sp>
    <xdr:clientData/>
  </xdr:twoCellAnchor>
  <xdr:twoCellAnchor>
    <xdr:from>
      <xdr:col>5</xdr:col>
      <xdr:colOff>4781549</xdr:colOff>
      <xdr:row>4</xdr:row>
      <xdr:rowOff>142875</xdr:rowOff>
    </xdr:from>
    <xdr:to>
      <xdr:col>7</xdr:col>
      <xdr:colOff>1752599</xdr:colOff>
      <xdr:row>8</xdr:row>
      <xdr:rowOff>76200</xdr:rowOff>
    </xdr:to>
    <xdr:sp macro="" textlink="">
      <xdr:nvSpPr>
        <xdr:cNvPr id="21" name="Rectangle: Rounded Corners 20">
          <a:extLst>
            <a:ext uri="{FF2B5EF4-FFF2-40B4-BE49-F238E27FC236}">
              <a16:creationId xmlns:a16="http://schemas.microsoft.com/office/drawing/2014/main" id="{766A0A91-B40F-44DA-A405-A5F262DCED58}"/>
            </a:ext>
          </a:extLst>
        </xdr:cNvPr>
        <xdr:cNvSpPr/>
      </xdr:nvSpPr>
      <xdr:spPr>
        <a:xfrm>
          <a:off x="11287124" y="904875"/>
          <a:ext cx="5514975" cy="695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1/11/2026</a:t>
          </a:r>
        </a:p>
      </xdr:txBody>
    </xdr:sp>
    <xdr:clientData/>
  </xdr:twoCellAnchor>
  <xdr:twoCellAnchor>
    <xdr:from>
      <xdr:col>5</xdr:col>
      <xdr:colOff>7194945</xdr:colOff>
      <xdr:row>5</xdr:row>
      <xdr:rowOff>19050</xdr:rowOff>
    </xdr:from>
    <xdr:to>
      <xdr:col>6</xdr:col>
      <xdr:colOff>177402</xdr:colOff>
      <xdr:row>6</xdr:row>
      <xdr:rowOff>114300</xdr:rowOff>
    </xdr:to>
    <xdr:sp macro="" textlink="">
      <xdr:nvSpPr>
        <xdr:cNvPr id="22" name="TextBox 21">
          <a:extLst>
            <a:ext uri="{FF2B5EF4-FFF2-40B4-BE49-F238E27FC236}">
              <a16:creationId xmlns:a16="http://schemas.microsoft.com/office/drawing/2014/main" id="{3ADAB724-CC47-4A94-9A21-A9225CD82A5F}"/>
            </a:ext>
          </a:extLst>
        </xdr:cNvPr>
        <xdr:cNvSpPr txBox="1"/>
      </xdr:nvSpPr>
      <xdr:spPr>
        <a:xfrm>
          <a:off x="13700520" y="971550"/>
          <a:ext cx="68818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Savings</a:t>
          </a:r>
          <a:endParaRPr lang="en-US" sz="1100" b="1" baseline="0"/>
        </a:p>
      </xdr:txBody>
    </xdr:sp>
    <xdr:clientData/>
  </xdr:twoCellAnchor>
  <xdr:twoCellAnchor>
    <xdr:from>
      <xdr:col>5</xdr:col>
      <xdr:colOff>5238750</xdr:colOff>
      <xdr:row>6</xdr:row>
      <xdr:rowOff>114300</xdr:rowOff>
    </xdr:from>
    <xdr:to>
      <xdr:col>5</xdr:col>
      <xdr:colOff>6038850</xdr:colOff>
      <xdr:row>8</xdr:row>
      <xdr:rowOff>9525</xdr:rowOff>
    </xdr:to>
    <xdr:sp macro="" textlink="Calculation!E13">
      <xdr:nvSpPr>
        <xdr:cNvPr id="23" name="TextBox 22">
          <a:extLst>
            <a:ext uri="{FF2B5EF4-FFF2-40B4-BE49-F238E27FC236}">
              <a16:creationId xmlns:a16="http://schemas.microsoft.com/office/drawing/2014/main" id="{B242C7EE-1BD6-4CFF-ACF7-1BF2EF8013C8}"/>
            </a:ext>
          </a:extLst>
        </xdr:cNvPr>
        <xdr:cNvSpPr txBox="1"/>
      </xdr:nvSpPr>
      <xdr:spPr>
        <a:xfrm>
          <a:off x="11744325" y="1257300"/>
          <a:ext cx="800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E37B4-BA0B-4FBA-AB87-E3C666E2B1FB}" type="TxLink">
            <a:rPr lang="en-US" sz="1100" b="1" i="0" u="none" strike="noStrike">
              <a:solidFill>
                <a:srgbClr val="000000"/>
              </a:solidFill>
              <a:latin typeface="Aptos Narrow"/>
            </a:rPr>
            <a:pPr/>
            <a:t> $1,401.09 </a:t>
          </a:fld>
          <a:endParaRPr lang="en-US" sz="1100" b="1"/>
        </a:p>
      </xdr:txBody>
    </xdr:sp>
    <xdr:clientData/>
  </xdr:twoCellAnchor>
  <xdr:twoCellAnchor>
    <xdr:from>
      <xdr:col>5</xdr:col>
      <xdr:colOff>4867275</xdr:colOff>
      <xdr:row>6</xdr:row>
      <xdr:rowOff>114300</xdr:rowOff>
    </xdr:from>
    <xdr:to>
      <xdr:col>5</xdr:col>
      <xdr:colOff>5486400</xdr:colOff>
      <xdr:row>8</xdr:row>
      <xdr:rowOff>9525</xdr:rowOff>
    </xdr:to>
    <xdr:sp macro="" textlink="">
      <xdr:nvSpPr>
        <xdr:cNvPr id="24" name="TextBox 23">
          <a:extLst>
            <a:ext uri="{FF2B5EF4-FFF2-40B4-BE49-F238E27FC236}">
              <a16:creationId xmlns:a16="http://schemas.microsoft.com/office/drawing/2014/main" id="{9EF4DCAA-FCE5-46A7-B03F-7ABA6F94F06B}"/>
            </a:ext>
          </a:extLst>
        </xdr:cNvPr>
        <xdr:cNvSpPr txBox="1"/>
      </xdr:nvSpPr>
      <xdr:spPr>
        <a:xfrm>
          <a:off x="11372850" y="1257300"/>
          <a:ext cx="619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0" i="0" u="none" strike="noStrike">
              <a:solidFill>
                <a:schemeClr val="bg1">
                  <a:lumMod val="50000"/>
                </a:schemeClr>
              </a:solidFill>
              <a:latin typeface="Aptos Narrow"/>
            </a:rPr>
            <a:t>401K:</a:t>
          </a:r>
        </a:p>
      </xdr:txBody>
    </xdr:sp>
    <xdr:clientData/>
  </xdr:twoCellAnchor>
  <xdr:twoCellAnchor>
    <xdr:from>
      <xdr:col>5</xdr:col>
      <xdr:colOff>6781800</xdr:colOff>
      <xdr:row>6</xdr:row>
      <xdr:rowOff>114300</xdr:rowOff>
    </xdr:from>
    <xdr:to>
      <xdr:col>5</xdr:col>
      <xdr:colOff>7534275</xdr:colOff>
      <xdr:row>8</xdr:row>
      <xdr:rowOff>9525</xdr:rowOff>
    </xdr:to>
    <xdr:sp macro="" textlink="">
      <xdr:nvSpPr>
        <xdr:cNvPr id="25" name="TextBox 24">
          <a:extLst>
            <a:ext uri="{FF2B5EF4-FFF2-40B4-BE49-F238E27FC236}">
              <a16:creationId xmlns:a16="http://schemas.microsoft.com/office/drawing/2014/main" id="{32D0B7E5-2D57-44B7-B8FC-6043329D75E6}"/>
            </a:ext>
          </a:extLst>
        </xdr:cNvPr>
        <xdr:cNvSpPr txBox="1"/>
      </xdr:nvSpPr>
      <xdr:spPr>
        <a:xfrm>
          <a:off x="13287375" y="12573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0" i="0" u="none" strike="noStrike">
              <a:solidFill>
                <a:schemeClr val="bg1">
                  <a:lumMod val="50000"/>
                </a:schemeClr>
              </a:solidFill>
              <a:latin typeface="Aptos Narrow"/>
            </a:rPr>
            <a:t>Roth</a:t>
          </a:r>
          <a:r>
            <a:rPr lang="en-US" sz="1050" b="0" i="0" u="none" strike="noStrike" baseline="0">
              <a:solidFill>
                <a:schemeClr val="bg1">
                  <a:lumMod val="50000"/>
                </a:schemeClr>
              </a:solidFill>
              <a:latin typeface="Aptos Narrow"/>
            </a:rPr>
            <a:t> IRA</a:t>
          </a:r>
          <a:r>
            <a:rPr lang="en-US" sz="1050" b="0" i="0" u="none" strike="noStrike">
              <a:solidFill>
                <a:schemeClr val="bg1">
                  <a:lumMod val="50000"/>
                </a:schemeClr>
              </a:solidFill>
              <a:latin typeface="Aptos Narrow"/>
            </a:rPr>
            <a:t>:</a:t>
          </a:r>
        </a:p>
      </xdr:txBody>
    </xdr:sp>
    <xdr:clientData/>
  </xdr:twoCellAnchor>
  <xdr:twoCellAnchor>
    <xdr:from>
      <xdr:col>7</xdr:col>
      <xdr:colOff>85726</xdr:colOff>
      <xdr:row>6</xdr:row>
      <xdr:rowOff>114300</xdr:rowOff>
    </xdr:from>
    <xdr:to>
      <xdr:col>7</xdr:col>
      <xdr:colOff>962026</xdr:colOff>
      <xdr:row>8</xdr:row>
      <xdr:rowOff>9525</xdr:rowOff>
    </xdr:to>
    <xdr:sp macro="" textlink="">
      <xdr:nvSpPr>
        <xdr:cNvPr id="26" name="TextBox 25">
          <a:extLst>
            <a:ext uri="{FF2B5EF4-FFF2-40B4-BE49-F238E27FC236}">
              <a16:creationId xmlns:a16="http://schemas.microsoft.com/office/drawing/2014/main" id="{7ADFBE8D-564C-4AA6-9D50-EAC283C9CDEA}"/>
            </a:ext>
          </a:extLst>
        </xdr:cNvPr>
        <xdr:cNvSpPr txBox="1"/>
      </xdr:nvSpPr>
      <xdr:spPr>
        <a:xfrm>
          <a:off x="15135226" y="1257300"/>
          <a:ext cx="876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0" i="0" u="none" strike="noStrike">
              <a:solidFill>
                <a:schemeClr val="bg1">
                  <a:lumMod val="50000"/>
                </a:schemeClr>
              </a:solidFill>
              <a:latin typeface="Aptos Narrow"/>
            </a:rPr>
            <a:t>Emergency:</a:t>
          </a:r>
        </a:p>
      </xdr:txBody>
    </xdr:sp>
    <xdr:clientData/>
  </xdr:twoCellAnchor>
  <xdr:twoCellAnchor>
    <xdr:from>
      <xdr:col>5</xdr:col>
      <xdr:colOff>7486650</xdr:colOff>
      <xdr:row>6</xdr:row>
      <xdr:rowOff>114300</xdr:rowOff>
    </xdr:from>
    <xdr:to>
      <xdr:col>6</xdr:col>
      <xdr:colOff>581025</xdr:colOff>
      <xdr:row>8</xdr:row>
      <xdr:rowOff>9525</xdr:rowOff>
    </xdr:to>
    <xdr:sp macro="" textlink="Calculation!E14">
      <xdr:nvSpPr>
        <xdr:cNvPr id="27" name="TextBox 26">
          <a:extLst>
            <a:ext uri="{FF2B5EF4-FFF2-40B4-BE49-F238E27FC236}">
              <a16:creationId xmlns:a16="http://schemas.microsoft.com/office/drawing/2014/main" id="{537EE11A-CCF3-4442-9741-1661FE963A30}"/>
            </a:ext>
          </a:extLst>
        </xdr:cNvPr>
        <xdr:cNvSpPr txBox="1"/>
      </xdr:nvSpPr>
      <xdr:spPr>
        <a:xfrm>
          <a:off x="13992225" y="1257300"/>
          <a:ext cx="800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12B454-D3B0-4A21-9DD5-5A58AD5E2BF3}" type="TxLink">
            <a:rPr lang="en-US" sz="1100" b="1" i="0" u="none" strike="noStrike">
              <a:solidFill>
                <a:srgbClr val="000000"/>
              </a:solidFill>
              <a:latin typeface="Aptos Narrow"/>
            </a:rPr>
            <a:pPr/>
            <a:t> $680.00 </a:t>
          </a:fld>
          <a:endParaRPr lang="en-US" sz="1100" b="1"/>
        </a:p>
      </xdr:txBody>
    </xdr:sp>
    <xdr:clientData/>
  </xdr:twoCellAnchor>
  <xdr:twoCellAnchor>
    <xdr:from>
      <xdr:col>7</xdr:col>
      <xdr:colOff>809625</xdr:colOff>
      <xdr:row>6</xdr:row>
      <xdr:rowOff>114300</xdr:rowOff>
    </xdr:from>
    <xdr:to>
      <xdr:col>7</xdr:col>
      <xdr:colOff>1609725</xdr:colOff>
      <xdr:row>8</xdr:row>
      <xdr:rowOff>9525</xdr:rowOff>
    </xdr:to>
    <xdr:sp macro="" textlink="Calculation!E15">
      <xdr:nvSpPr>
        <xdr:cNvPr id="28" name="TextBox 27">
          <a:extLst>
            <a:ext uri="{FF2B5EF4-FFF2-40B4-BE49-F238E27FC236}">
              <a16:creationId xmlns:a16="http://schemas.microsoft.com/office/drawing/2014/main" id="{60F53097-56A2-4EE9-B19E-90EB3FFF2368}"/>
            </a:ext>
          </a:extLst>
        </xdr:cNvPr>
        <xdr:cNvSpPr txBox="1"/>
      </xdr:nvSpPr>
      <xdr:spPr>
        <a:xfrm>
          <a:off x="15859125" y="1257300"/>
          <a:ext cx="800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FE443F-3728-4F11-ADF6-974195BA052C}" type="TxLink">
            <a:rPr lang="en-US" sz="1100" b="1" i="0" u="none" strike="noStrike">
              <a:solidFill>
                <a:srgbClr val="000000"/>
              </a:solidFill>
              <a:latin typeface="Aptos Narrow"/>
            </a:rPr>
            <a:pPr/>
            <a:t> $-   </a:t>
          </a:fld>
          <a:endParaRPr lang="en-US" sz="1100" b="1"/>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60ADD-D564-4882-ABCD-FDA2887A6DAF}" name="Income" displayName="Income" ref="C9:C14" totalsRowShown="0" headerRowDxfId="25" dataDxfId="24">
  <autoFilter ref="C9:C14" xr:uid="{28060ADD-D564-4882-ABCD-FDA2887A6DAF}">
    <filterColumn colId="0" hiddenButton="1"/>
  </autoFilter>
  <tableColumns count="1">
    <tableColumn id="1" xr3:uid="{19C7D09A-8E99-44B9-8A0D-52DA3AD6717B}" name="Income"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EBFC05-007B-4DDB-99B1-923185513F43}" name="Expenses" displayName="Expenses" ref="C23:C41" totalsRowShown="0" headerRowDxfId="22" dataDxfId="21">
  <autoFilter ref="C23:C41" xr:uid="{26EBFC05-007B-4DDB-99B1-923185513F43}">
    <filterColumn colId="0" hiddenButton="1"/>
  </autoFilter>
  <tableColumns count="1">
    <tableColumn id="1" xr3:uid="{054B0ED6-D229-4E7E-B46D-D8E9E2B6A652}" name="Expenses"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2FC9EA-987F-4E96-95FB-D9D4C69B530B}" name="Savings" displayName="Savings" ref="C45:C52" totalsRowShown="0" headerRowDxfId="19" dataDxfId="18">
  <autoFilter ref="C45:C52" xr:uid="{732FC9EA-987F-4E96-95FB-D9D4C69B530B}">
    <filterColumn colId="0" hiddenButton="1"/>
  </autoFilter>
  <tableColumns count="1">
    <tableColumn id="1" xr3:uid="{9B015AA8-6AE7-4E7C-A9CB-340E9F2BCCE1}" name="Savings"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BDA7D6-5F78-4C14-BE92-7A3D34140449}" name="Tracking" displayName="Tracking" ref="B11:H222" totalsRowShown="0" headerRowDxfId="34" dataDxfId="33">
  <autoFilter ref="B11:H222" xr:uid="{5EBDA7D6-5F78-4C14-BE92-7A3D34140449}"/>
  <sortState xmlns:xlrd2="http://schemas.microsoft.com/office/spreadsheetml/2017/richdata2" ref="B12:H222">
    <sortCondition ref="B11:B222"/>
  </sortState>
  <tableColumns count="7">
    <tableColumn id="1" xr3:uid="{9596B93D-AE07-45FA-B9AB-1D752C5B70A5}" name="Date" dataDxfId="32"/>
    <tableColumn id="2" xr3:uid="{053A61ED-D0C3-466D-9ADA-2118BEC6A477}" name="Type" dataDxfId="31"/>
    <tableColumn id="3" xr3:uid="{36323927-3189-43D6-99B2-114D96B6071C}" name="Category" dataDxfId="30"/>
    <tableColumn id="4" xr3:uid="{F50128DF-F86C-4CFD-A37C-5AF2310E1E1F}" name="Amount" dataDxfId="29"/>
    <tableColumn id="5" xr3:uid="{F5BE8020-DEDC-4D8A-AE2A-D697C017C8F2}" name="Details" dataDxfId="28"/>
    <tableColumn id="6" xr3:uid="{C39F81BF-FC60-4505-99E7-74D292B87A45}" name="Balance" dataDxfId="27">
      <calculatedColumnFormula array="1">SUMPRODUCT(Tracking[Amount],--(Tracking[Date]&lt;=Tracking[[#This Row],[Date]]),(Tracking[Type]&lt;&gt;"Income")*(-1) + (Tracking[Type]="Income"))</calculatedColumnFormula>
    </tableColumn>
    <tableColumn id="7" xr3:uid="{7B9EF5C2-38CE-4D67-86DA-7EBFDFFE3F50}" name="Effective Date" dataDxfId="26">
      <calculatedColumnFormula array="1">IF(AND(Tracking[[#This Row],[Type]]="Income",shift_late_income_status="Active",DAY(Tracking[[#This Row],[Date]])&gt;=shift_late_income_starting_day),DATE(YEAR(Tracking[[#This Row],[Date]]),MONTH(Tracking[[#This Row],[Date]])+1,1),Tracking[[#This Row],[Date]])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0E023-E14B-4207-A2E9-AE161980D5E1}">
  <dimension ref="B1:C6"/>
  <sheetViews>
    <sheetView showGridLines="0" workbookViewId="0">
      <selection activeCell="W17" sqref="W17"/>
    </sheetView>
  </sheetViews>
  <sheetFormatPr defaultRowHeight="15" x14ac:dyDescent="0.25"/>
  <cols>
    <col min="1" max="1" width="1" customWidth="1"/>
    <col min="2" max="2" width="42.7109375" customWidth="1"/>
  </cols>
  <sheetData>
    <row r="1" spans="2:3" ht="4.5" customHeight="1" x14ac:dyDescent="0.25"/>
    <row r="2" spans="2:3" ht="15.75" x14ac:dyDescent="0.25">
      <c r="B2" s="79" t="s">
        <v>133</v>
      </c>
      <c r="C2" s="78" t="s">
        <v>134</v>
      </c>
    </row>
    <row r="3" spans="2:3" x14ac:dyDescent="0.25">
      <c r="B3" t="s">
        <v>135</v>
      </c>
      <c r="C3" s="80" t="b">
        <v>0</v>
      </c>
    </row>
    <row r="4" spans="2:3" x14ac:dyDescent="0.25">
      <c r="B4" t="s">
        <v>137</v>
      </c>
      <c r="C4" s="80" t="b">
        <v>0</v>
      </c>
    </row>
    <row r="5" spans="2:3" x14ac:dyDescent="0.25">
      <c r="B5" t="s">
        <v>136</v>
      </c>
      <c r="C5" s="80" t="b">
        <v>0</v>
      </c>
    </row>
    <row r="6" spans="2:3" x14ac:dyDescent="0.25">
      <c r="B6" t="s">
        <v>178</v>
      </c>
      <c r="C6" s="80"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CJ58"/>
  <sheetViews>
    <sheetView showGridLines="0" tabSelected="1" topLeftCell="B10" workbookViewId="0">
      <pane xSplit="3" topLeftCell="R1" activePane="topRight" state="frozen"/>
      <selection pane="topRight" activeCell="T39" sqref="T39"/>
    </sheetView>
  </sheetViews>
  <sheetFormatPr defaultColWidth="9.140625" defaultRowHeight="15" outlineLevelCol="2" x14ac:dyDescent="0.25"/>
  <cols>
    <col min="3" max="3" width="23.140625" customWidth="1"/>
    <col min="4" max="4" width="1.28515625" customWidth="1"/>
    <col min="5" max="16" width="10.7109375" hidden="1" customWidth="1" outlineLevel="2"/>
    <col min="17" max="17" width="11.28515625" hidden="1" customWidth="1" collapsed="1"/>
    <col min="18" max="18" width="1.28515625" customWidth="1"/>
    <col min="19" max="19" width="10.7109375" bestFit="1" customWidth="1" outlineLevel="1"/>
    <col min="20" max="20" width="11.5703125" bestFit="1" customWidth="1" outlineLevel="1"/>
    <col min="21" max="30" width="12.42578125" customWidth="1" outlineLevel="1"/>
    <col min="31" max="31" width="12.42578125" customWidth="1"/>
    <col min="32" max="32" width="1.140625" customWidth="1"/>
    <col min="33" max="44" width="10.5703125" bestFit="1" customWidth="1" outlineLevel="2"/>
    <col min="45" max="45" width="11.28515625" bestFit="1" customWidth="1"/>
    <col min="46" max="46" width="1.42578125" customWidth="1"/>
    <col min="47" max="58" width="0" hidden="1" customWidth="1" outlineLevel="1"/>
    <col min="59" max="59" width="9.140625" collapsed="1"/>
    <col min="60" max="60" width="1.42578125" customWidth="1"/>
    <col min="61" max="72" width="0" hidden="1" customWidth="1" outlineLevel="1"/>
    <col min="73" max="73" width="9.140625" collapsed="1"/>
    <col min="74" max="74" width="2" customWidth="1"/>
    <col min="75" max="86" width="0" hidden="1" customWidth="1" outlineLevel="1"/>
    <col min="87" max="87" width="9.140625" collapsed="1"/>
  </cols>
  <sheetData>
    <row r="5" spans="3:88" x14ac:dyDescent="0.25">
      <c r="E5" s="83" cm="1">
        <f t="array" ref="E5">starting_year</f>
        <v>2025</v>
      </c>
      <c r="F5" s="83"/>
      <c r="G5" s="83"/>
      <c r="H5" s="83"/>
      <c r="I5" s="83"/>
      <c r="J5" s="83"/>
      <c r="K5" s="83"/>
      <c r="L5" s="83"/>
      <c r="M5" s="83"/>
      <c r="N5" s="83"/>
      <c r="O5" s="83"/>
      <c r="P5" s="83"/>
      <c r="Q5" s="83"/>
      <c r="S5" s="83">
        <f>E5+1</f>
        <v>2026</v>
      </c>
      <c r="T5" s="83"/>
      <c r="U5" s="83"/>
      <c r="V5" s="83"/>
      <c r="W5" s="83"/>
      <c r="X5" s="83"/>
      <c r="Y5" s="83"/>
      <c r="Z5" s="83"/>
      <c r="AA5" s="83"/>
      <c r="AB5" s="83"/>
      <c r="AC5" s="83"/>
      <c r="AD5" s="83"/>
      <c r="AE5" s="83"/>
      <c r="AG5" s="83">
        <f>S5+1</f>
        <v>2027</v>
      </c>
      <c r="AH5" s="83"/>
      <c r="AI5" s="83"/>
      <c r="AJ5" s="83"/>
      <c r="AK5" s="83"/>
      <c r="AL5" s="83"/>
      <c r="AM5" s="83"/>
      <c r="AN5" s="83"/>
      <c r="AO5" s="83"/>
      <c r="AP5" s="83"/>
      <c r="AQ5" s="83"/>
      <c r="AR5" s="83"/>
      <c r="AS5" s="83"/>
      <c r="AU5" s="83">
        <f>AG5+1</f>
        <v>2028</v>
      </c>
      <c r="AV5" s="83"/>
      <c r="AW5" s="83"/>
      <c r="AX5" s="83"/>
      <c r="AY5" s="83"/>
      <c r="AZ5" s="83"/>
      <c r="BA5" s="83"/>
      <c r="BB5" s="83"/>
      <c r="BC5" s="83"/>
      <c r="BD5" s="83"/>
      <c r="BE5" s="83"/>
      <c r="BF5" s="83"/>
      <c r="BG5" s="83"/>
      <c r="BI5" s="83">
        <f>AU5+1</f>
        <v>2029</v>
      </c>
      <c r="BJ5" s="83"/>
      <c r="BK5" s="83"/>
      <c r="BL5" s="83"/>
      <c r="BM5" s="83"/>
      <c r="BN5" s="83"/>
      <c r="BO5" s="83"/>
      <c r="BP5" s="83"/>
      <c r="BQ5" s="83"/>
      <c r="BR5" s="83"/>
      <c r="BS5" s="83"/>
      <c r="BT5" s="83"/>
      <c r="BU5" s="83"/>
      <c r="BW5" s="83">
        <f>BI5+1</f>
        <v>2030</v>
      </c>
      <c r="BX5" s="83"/>
      <c r="BY5" s="83"/>
      <c r="BZ5" s="83"/>
      <c r="CA5" s="83"/>
      <c r="CB5" s="83"/>
      <c r="CC5" s="83"/>
      <c r="CD5" s="83"/>
      <c r="CE5" s="83"/>
      <c r="CF5" s="83"/>
      <c r="CG5" s="83"/>
      <c r="CH5" s="83"/>
      <c r="CI5" s="83"/>
    </row>
    <row r="6" spans="3:88" x14ac:dyDescent="0.25">
      <c r="E6" s="19" t="str">
        <f ca="1">IF(E7=0,"Jan ✓",E9)</f>
        <v>Jan ✓</v>
      </c>
      <c r="F6" s="19" t="str">
        <f ca="1">IF(F7=0,"Feb ✓",F9)</f>
        <v>Feb ✓</v>
      </c>
      <c r="G6" s="19" t="str">
        <f ca="1">IF(G7=0,"Mar ✓",G9)</f>
        <v>Mar ✓</v>
      </c>
      <c r="H6" s="19" t="str">
        <f ca="1">IF(H7=0,"Apr ✓",H9)</f>
        <v>Apr ✓</v>
      </c>
      <c r="I6" s="19" t="str">
        <f ca="1">IF(I7=0,"May ✓",I9)</f>
        <v>May ✓</v>
      </c>
      <c r="J6" s="19" t="str">
        <f ca="1">IF(J7=0,"Jun ✓",J9)</f>
        <v>Jun ✓</v>
      </c>
      <c r="K6" s="19" t="str">
        <f ca="1">IF(K7=0,"Jul ✓",K9)</f>
        <v>Jul ✓</v>
      </c>
      <c r="L6" s="19" t="str">
        <f ca="1">IF(L7=0,"Aug ✓",L9)</f>
        <v>Aug ✓</v>
      </c>
      <c r="M6" s="19" t="str">
        <f ca="1">IF(M7=0,"Sep ✓",M9)</f>
        <v>Sep ✓</v>
      </c>
      <c r="N6" s="19" t="str">
        <f ca="1">IF(N7=0,"Oct ✓",N9)</f>
        <v>Oct ✓</v>
      </c>
      <c r="O6" s="19" t="str">
        <f ca="1">IF(O7=0,"Nov ✓",O9)</f>
        <v>Nov ✓</v>
      </c>
      <c r="P6" s="19" t="str">
        <f ca="1">IF(P7=0,"Dec ✓",P9)</f>
        <v>Dec ✓</v>
      </c>
      <c r="Q6" s="19" t="str">
        <f ca="1">IF(Q7=0,"Total ✓","Total")</f>
        <v>Total ✓</v>
      </c>
      <c r="R6" s="1"/>
      <c r="S6" s="19" t="str">
        <f ca="1">IF(S7=0,"Jan ✓",S9)</f>
        <v>Jan ✓</v>
      </c>
      <c r="T6" s="19" t="str">
        <f ca="1">IF(T7=0,"Feb ✓",T9)</f>
        <v>Feb ✓</v>
      </c>
      <c r="U6" s="19">
        <f ca="1">IF(U7=0,"Mar ✓",U9)</f>
        <v>46082</v>
      </c>
      <c r="V6" s="19">
        <f ca="1">IF(V7=0,"Apr ✓",V9)</f>
        <v>46113</v>
      </c>
      <c r="W6" s="19">
        <f ca="1">IF(W7=0,"May ✓",W9)</f>
        <v>46143</v>
      </c>
      <c r="X6" s="19">
        <f ca="1">IF(X7=0,"Jun ✓",X9)</f>
        <v>46174</v>
      </c>
      <c r="Y6" s="19">
        <f ca="1">IF(Y7=0,"Jul ✓",Y9)</f>
        <v>46204</v>
      </c>
      <c r="Z6" s="19">
        <f ca="1">IF(Z7=0,"Aug ✓",Z9)</f>
        <v>46235</v>
      </c>
      <c r="AA6" s="19">
        <f ca="1">IF(AA7=0,"Sep ✓",AA9)</f>
        <v>46266</v>
      </c>
      <c r="AB6" s="19">
        <f ca="1">IF(AB7=0,"Oct ✓",AB9)</f>
        <v>46296</v>
      </c>
      <c r="AC6" s="19">
        <f ca="1">IF(AC7=0,"Nov ✓",AC9)</f>
        <v>46327</v>
      </c>
      <c r="AD6" s="19">
        <f ca="1">IF(AD7=0,"Dec ✓",AD9)</f>
        <v>46357</v>
      </c>
      <c r="AE6" s="19" t="str">
        <f ca="1">IF(AE7=0,"Total ✓","Total")</f>
        <v>Total</v>
      </c>
      <c r="AF6" s="1"/>
      <c r="AG6" s="19">
        <f ca="1">IF(AG7=0,"Jan ✓",AG9)</f>
        <v>46388</v>
      </c>
      <c r="AH6" s="19">
        <f ca="1">IF(AH7=0,"Feb ✓",AH9)</f>
        <v>46419</v>
      </c>
      <c r="AI6" s="19">
        <f ca="1">IF(AI7=0,"Mar ✓",AI9)</f>
        <v>46447</v>
      </c>
      <c r="AJ6" s="19">
        <f ca="1">IF(AJ7=0,"Apr ✓",AJ9)</f>
        <v>46478</v>
      </c>
      <c r="AK6" s="19">
        <f ca="1">IF(AK7=0,"May ✓",AK9)</f>
        <v>46508</v>
      </c>
      <c r="AL6" s="19">
        <f ca="1">IF(AL7=0,"Jun ✓",AL9)</f>
        <v>46539</v>
      </c>
      <c r="AM6" s="19">
        <f ca="1">IF(AM7=0,"Jul ✓",AM9)</f>
        <v>46569</v>
      </c>
      <c r="AN6" s="19">
        <f ca="1">IF(AN7=0,"Aug ✓",AN9)</f>
        <v>46600</v>
      </c>
      <c r="AO6" s="19">
        <f ca="1">IF(AO7=0,"Sep ✓",AO9)</f>
        <v>46631</v>
      </c>
      <c r="AP6" s="19">
        <f ca="1">IF(AP7=0,"Oct ✓",AP9)</f>
        <v>46661</v>
      </c>
      <c r="AQ6" s="19">
        <f ca="1">IF(AQ7=0,"Nov ✓",AQ9)</f>
        <v>46692</v>
      </c>
      <c r="AR6" s="19">
        <f ca="1">IF(AR7=0,"Dec ✓",AR9)</f>
        <v>46722</v>
      </c>
      <c r="AS6" s="19" t="str">
        <f ca="1">IF(AS7=0,"Total ✓","Total")</f>
        <v>Total</v>
      </c>
      <c r="AT6" s="1"/>
      <c r="AU6" s="19" t="str">
        <f ca="1">IF(AU7=0,"Jan ✓",AU9)</f>
        <v>Jan ✓</v>
      </c>
      <c r="AV6" s="19" t="str">
        <f ca="1">IF(AV7=0,"Feb ✓",AV9)</f>
        <v>Feb ✓</v>
      </c>
      <c r="AW6" s="19" t="str">
        <f ca="1">IF(AW7=0,"Mar ✓",AW9)</f>
        <v>Mar ✓</v>
      </c>
      <c r="AX6" s="19" t="str">
        <f ca="1">IF(AX7=0,"Apr ✓",AX9)</f>
        <v>Apr ✓</v>
      </c>
      <c r="AY6" s="19" t="str">
        <f ca="1">IF(AY7=0,"May ✓",AY9)</f>
        <v>May ✓</v>
      </c>
      <c r="AZ6" s="19" t="str">
        <f ca="1">IF(AZ7=0,"Jun ✓",AZ9)</f>
        <v>Jun ✓</v>
      </c>
      <c r="BA6" s="19" t="str">
        <f ca="1">IF(BA7=0,"Jul ✓",BA9)</f>
        <v>Jul ✓</v>
      </c>
      <c r="BB6" s="19" t="str">
        <f ca="1">IF(BB7=0,"Aug ✓",BB9)</f>
        <v>Aug ✓</v>
      </c>
      <c r="BC6" s="19" t="str">
        <f ca="1">IF(BC7=0,"Sep ✓",BC9)</f>
        <v>Sep ✓</v>
      </c>
      <c r="BD6" s="19" t="str">
        <f ca="1">IF(BD7=0,"Oct ✓",BD9)</f>
        <v>Oct ✓</v>
      </c>
      <c r="BE6" s="19" t="str">
        <f ca="1">IF(BE7=0,"Nov ✓",BE9)</f>
        <v>Nov ✓</v>
      </c>
      <c r="BF6" s="19" t="str">
        <f ca="1">IF(BF7=0,"Dec ✓",BF9)</f>
        <v>Dec ✓</v>
      </c>
      <c r="BG6" s="19" t="str">
        <f ca="1">IF(BG7=0,"Total ✓","Total")</f>
        <v>Total ✓</v>
      </c>
      <c r="BH6" s="1"/>
      <c r="BI6" s="19" t="str">
        <f ca="1">IF(BI7=0,"Jan ✓",BI9)</f>
        <v>Jan ✓</v>
      </c>
      <c r="BJ6" s="19" t="str">
        <f ca="1">IF(BJ7=0,"Feb ✓",BJ9)</f>
        <v>Feb ✓</v>
      </c>
      <c r="BK6" s="19" t="str">
        <f ca="1">IF(BK7=0,"Mar ✓",BK9)</f>
        <v>Mar ✓</v>
      </c>
      <c r="BL6" s="19" t="str">
        <f ca="1">IF(BL7=0,"Apr ✓",BL9)</f>
        <v>Apr ✓</v>
      </c>
      <c r="BM6" s="19" t="str">
        <f ca="1">IF(BM7=0,"May ✓",BM9)</f>
        <v>May ✓</v>
      </c>
      <c r="BN6" s="19" t="str">
        <f ca="1">IF(BN7=0,"Jun ✓",BN9)</f>
        <v>Jun ✓</v>
      </c>
      <c r="BO6" s="19" t="str">
        <f ca="1">IF(BO7=0,"Jul ✓",BO9)</f>
        <v>Jul ✓</v>
      </c>
      <c r="BP6" s="19" t="str">
        <f ca="1">IF(BP7=0,"Aug ✓",BP9)</f>
        <v>Aug ✓</v>
      </c>
      <c r="BQ6" s="19" t="str">
        <f ca="1">IF(BQ7=0,"Sep ✓",BQ9)</f>
        <v>Sep ✓</v>
      </c>
      <c r="BR6" s="19" t="str">
        <f ca="1">IF(BR7=0,"Oct ✓",BR9)</f>
        <v>Oct ✓</v>
      </c>
      <c r="BS6" s="19" t="str">
        <f ca="1">IF(BS7=0,"Nov ✓",BS9)</f>
        <v>Nov ✓</v>
      </c>
      <c r="BT6" s="19" t="str">
        <f ca="1">IF(BT7=0,"Dec ✓",BT9)</f>
        <v>Dec ✓</v>
      </c>
      <c r="BU6" s="19" t="str">
        <f ca="1">IF(BU7=0,"Total ✓","Total")</f>
        <v>Total ✓</v>
      </c>
      <c r="BV6" s="1"/>
      <c r="BW6" s="19" t="str">
        <f ca="1">IF(BW7=0,"Jan ✓",BW9)</f>
        <v>Jan ✓</v>
      </c>
      <c r="BX6" s="19" t="str">
        <f ca="1">IF(BX7=0,"Feb ✓",BX9)</f>
        <v>Feb ✓</v>
      </c>
      <c r="BY6" s="19" t="str">
        <f ca="1">IF(BY7=0,"Mar ✓",BY9)</f>
        <v>Mar ✓</v>
      </c>
      <c r="BZ6" s="19" t="str">
        <f ca="1">IF(BZ7=0,"Apr ✓",BZ9)</f>
        <v>Apr ✓</v>
      </c>
      <c r="CA6" s="19" t="str">
        <f ca="1">IF(CA7=0,"May ✓",CA9)</f>
        <v>May ✓</v>
      </c>
      <c r="CB6" s="19" t="str">
        <f ca="1">IF(CB7=0,"Jun ✓",CB9)</f>
        <v>Jun ✓</v>
      </c>
      <c r="CC6" s="19" t="str">
        <f ca="1">IF(CC7=0,"Jul ✓",CC9)</f>
        <v>Jul ✓</v>
      </c>
      <c r="CD6" s="19" t="str">
        <f ca="1">IF(CD7=0,"Aug ✓",CD9)</f>
        <v>Aug ✓</v>
      </c>
      <c r="CE6" s="19" t="str">
        <f ca="1">IF(CE7=0,"Sep ✓",CE9)</f>
        <v>Sep ✓</v>
      </c>
      <c r="CF6" s="19" t="str">
        <f ca="1">IF(CF7=0,"Oct ✓",CF9)</f>
        <v>Oct ✓</v>
      </c>
      <c r="CG6" s="19" t="str">
        <f ca="1">IF(CG7=0,"Nov ✓",CG9)</f>
        <v>Nov ✓</v>
      </c>
      <c r="CH6" s="19" t="str">
        <f ca="1">IF(CH7=0,"Dec ✓",CH9)</f>
        <v>Dec ✓</v>
      </c>
      <c r="CI6" s="19" t="str">
        <f ca="1">IF(CI7=0,"Total ✓","Total")</f>
        <v>Total ✓</v>
      </c>
      <c r="CJ6" s="1"/>
    </row>
    <row r="7" spans="3:88" x14ac:dyDescent="0.25">
      <c r="C7" s="17" t="s">
        <v>0</v>
      </c>
      <c r="E7" s="18">
        <f t="shared" ref="E7:Q7" ca="1" si="0">E21-(E43+E58)</f>
        <v>0</v>
      </c>
      <c r="F7" s="18">
        <f t="shared" ca="1" si="0"/>
        <v>0</v>
      </c>
      <c r="G7" s="18">
        <f t="shared" ca="1" si="0"/>
        <v>0</v>
      </c>
      <c r="H7" s="18">
        <f t="shared" ca="1" si="0"/>
        <v>0</v>
      </c>
      <c r="I7" s="18">
        <f t="shared" ca="1" si="0"/>
        <v>0</v>
      </c>
      <c r="J7" s="18">
        <f t="shared" ca="1" si="0"/>
        <v>0</v>
      </c>
      <c r="K7" s="18">
        <f t="shared" ca="1" si="0"/>
        <v>0</v>
      </c>
      <c r="L7" s="18">
        <f t="shared" ca="1" si="0"/>
        <v>0</v>
      </c>
      <c r="M7" s="18">
        <f t="shared" ca="1" si="0"/>
        <v>0</v>
      </c>
      <c r="N7" s="18">
        <f t="shared" ca="1" si="0"/>
        <v>0</v>
      </c>
      <c r="O7" s="18">
        <f t="shared" ca="1" si="0"/>
        <v>0</v>
      </c>
      <c r="P7" s="18">
        <f t="shared" ca="1" si="0"/>
        <v>0</v>
      </c>
      <c r="Q7" s="18">
        <f t="shared" ca="1" si="0"/>
        <v>0</v>
      </c>
      <c r="R7" s="1"/>
      <c r="S7" s="18">
        <f t="shared" ref="S7:AE7" ca="1" si="1">S21-(S43+S58)</f>
        <v>0</v>
      </c>
      <c r="T7" s="18">
        <f t="shared" ca="1" si="1"/>
        <v>0</v>
      </c>
      <c r="U7" s="18">
        <f t="shared" ca="1" si="1"/>
        <v>288.39000000000033</v>
      </c>
      <c r="V7" s="18">
        <f t="shared" ca="1" si="1"/>
        <v>188.39000000000033</v>
      </c>
      <c r="W7" s="18">
        <f t="shared" ca="1" si="1"/>
        <v>188.38999999999942</v>
      </c>
      <c r="X7" s="18">
        <f t="shared" ca="1" si="1"/>
        <v>188.38999999999942</v>
      </c>
      <c r="Y7" s="18">
        <f t="shared" ca="1" si="1"/>
        <v>218.38999999999942</v>
      </c>
      <c r="Z7" s="18">
        <f t="shared" ca="1" si="1"/>
        <v>218.38999999999942</v>
      </c>
      <c r="AA7" s="18">
        <f t="shared" ca="1" si="1"/>
        <v>218.38999999999942</v>
      </c>
      <c r="AB7" s="18">
        <f t="shared" ca="1" si="1"/>
        <v>218.38999999999942</v>
      </c>
      <c r="AC7" s="18">
        <f t="shared" ca="1" si="1"/>
        <v>218.38999999999942</v>
      </c>
      <c r="AD7" s="18">
        <f t="shared" ca="1" si="1"/>
        <v>218.38999999999942</v>
      </c>
      <c r="AE7" s="18">
        <f t="shared" ca="1" si="1"/>
        <v>2163.9000000000087</v>
      </c>
      <c r="AF7" s="1"/>
      <c r="AG7" s="18">
        <f ca="1">AG21-(AG43+AG58)</f>
        <v>2537.33</v>
      </c>
      <c r="AH7" s="18">
        <f t="shared" ref="AH7:AS7" ca="1" si="2">AH21-(AH43+AH58)</f>
        <v>2537.33</v>
      </c>
      <c r="AI7" s="18">
        <f t="shared" ca="1" si="2"/>
        <v>2537.33</v>
      </c>
      <c r="AJ7" s="18">
        <f t="shared" ca="1" si="2"/>
        <v>2537.33</v>
      </c>
      <c r="AK7" s="18">
        <f t="shared" ca="1" si="2"/>
        <v>2537.33</v>
      </c>
      <c r="AL7" s="18">
        <f t="shared" ca="1" si="2"/>
        <v>2537.33</v>
      </c>
      <c r="AM7" s="18">
        <f t="shared" ca="1" si="2"/>
        <v>2537.33</v>
      </c>
      <c r="AN7" s="18">
        <f t="shared" ca="1" si="2"/>
        <v>2537.33</v>
      </c>
      <c r="AO7" s="18">
        <f t="shared" ca="1" si="2"/>
        <v>2537.33</v>
      </c>
      <c r="AP7" s="18">
        <f t="shared" ca="1" si="2"/>
        <v>2537.33</v>
      </c>
      <c r="AQ7" s="18">
        <f t="shared" ca="1" si="2"/>
        <v>2537.33</v>
      </c>
      <c r="AR7" s="18">
        <f t="shared" ca="1" si="2"/>
        <v>2537.33</v>
      </c>
      <c r="AS7" s="18">
        <f t="shared" ca="1" si="2"/>
        <v>30447.959999999985</v>
      </c>
      <c r="AT7" s="1"/>
      <c r="AU7" s="18">
        <f t="shared" ref="AU7:BG7" ca="1" si="3">AU21-(AU43+AU58)</f>
        <v>0</v>
      </c>
      <c r="AV7" s="18">
        <f t="shared" ca="1" si="3"/>
        <v>0</v>
      </c>
      <c r="AW7" s="18">
        <f t="shared" ca="1" si="3"/>
        <v>0</v>
      </c>
      <c r="AX7" s="18">
        <f t="shared" ca="1" si="3"/>
        <v>0</v>
      </c>
      <c r="AY7" s="18">
        <f t="shared" ca="1" si="3"/>
        <v>0</v>
      </c>
      <c r="AZ7" s="18">
        <f t="shared" ca="1" si="3"/>
        <v>0</v>
      </c>
      <c r="BA7" s="18">
        <f t="shared" ca="1" si="3"/>
        <v>0</v>
      </c>
      <c r="BB7" s="18">
        <f t="shared" ca="1" si="3"/>
        <v>0</v>
      </c>
      <c r="BC7" s="18">
        <f t="shared" ca="1" si="3"/>
        <v>0</v>
      </c>
      <c r="BD7" s="18">
        <f t="shared" ca="1" si="3"/>
        <v>0</v>
      </c>
      <c r="BE7" s="18">
        <f t="shared" ca="1" si="3"/>
        <v>0</v>
      </c>
      <c r="BF7" s="18">
        <f t="shared" ca="1" si="3"/>
        <v>0</v>
      </c>
      <c r="BG7" s="18">
        <f t="shared" ca="1" si="3"/>
        <v>0</v>
      </c>
      <c r="BH7" s="1"/>
      <c r="BI7" s="18">
        <f t="shared" ref="BI7:BU7" ca="1" si="4">BI21-(BI43+BI58)</f>
        <v>0</v>
      </c>
      <c r="BJ7" s="18">
        <f t="shared" ca="1" si="4"/>
        <v>0</v>
      </c>
      <c r="BK7" s="18">
        <f t="shared" ca="1" si="4"/>
        <v>0</v>
      </c>
      <c r="BL7" s="18">
        <f t="shared" ca="1" si="4"/>
        <v>0</v>
      </c>
      <c r="BM7" s="18">
        <f t="shared" ca="1" si="4"/>
        <v>0</v>
      </c>
      <c r="BN7" s="18">
        <f t="shared" ca="1" si="4"/>
        <v>0</v>
      </c>
      <c r="BO7" s="18">
        <f t="shared" ca="1" si="4"/>
        <v>0</v>
      </c>
      <c r="BP7" s="18">
        <f t="shared" ca="1" si="4"/>
        <v>0</v>
      </c>
      <c r="BQ7" s="18">
        <f t="shared" ca="1" si="4"/>
        <v>0</v>
      </c>
      <c r="BR7" s="18">
        <f t="shared" ca="1" si="4"/>
        <v>0</v>
      </c>
      <c r="BS7" s="18">
        <f t="shared" ca="1" si="4"/>
        <v>0</v>
      </c>
      <c r="BT7" s="18">
        <f t="shared" ca="1" si="4"/>
        <v>0</v>
      </c>
      <c r="BU7" s="18">
        <f t="shared" ca="1" si="4"/>
        <v>0</v>
      </c>
      <c r="BV7" s="1"/>
      <c r="BW7" s="18">
        <f t="shared" ref="BW7:CI7" ca="1" si="5">BW21-(BW43+BW58)</f>
        <v>0</v>
      </c>
      <c r="BX7" s="18">
        <f t="shared" ca="1" si="5"/>
        <v>0</v>
      </c>
      <c r="BY7" s="18">
        <f t="shared" ca="1" si="5"/>
        <v>0</v>
      </c>
      <c r="BZ7" s="18">
        <f t="shared" ca="1" si="5"/>
        <v>0</v>
      </c>
      <c r="CA7" s="18">
        <f t="shared" ca="1" si="5"/>
        <v>0</v>
      </c>
      <c r="CB7" s="18">
        <f t="shared" ca="1" si="5"/>
        <v>0</v>
      </c>
      <c r="CC7" s="18">
        <f t="shared" ca="1" si="5"/>
        <v>0</v>
      </c>
      <c r="CD7" s="18">
        <f t="shared" ca="1" si="5"/>
        <v>0</v>
      </c>
      <c r="CE7" s="18">
        <f t="shared" ca="1" si="5"/>
        <v>0</v>
      </c>
      <c r="CF7" s="18">
        <f t="shared" ca="1" si="5"/>
        <v>0</v>
      </c>
      <c r="CG7" s="18">
        <f t="shared" ca="1" si="5"/>
        <v>0</v>
      </c>
      <c r="CH7" s="18">
        <f t="shared" ca="1" si="5"/>
        <v>0</v>
      </c>
      <c r="CI7" s="18">
        <f t="shared" ca="1" si="5"/>
        <v>0</v>
      </c>
      <c r="CJ7" s="1"/>
    </row>
    <row r="9" spans="3:88" x14ac:dyDescent="0.25">
      <c r="C9" s="2" t="s">
        <v>1</v>
      </c>
      <c r="E9" s="7">
        <f>DATE(E$5,1,1)</f>
        <v>45658</v>
      </c>
      <c r="F9" s="7">
        <f>DATE(E$5,2,1)</f>
        <v>45689</v>
      </c>
      <c r="G9" s="7">
        <f>DATE(E$5,3,1)</f>
        <v>45717</v>
      </c>
      <c r="H9" s="7">
        <f>DATE(E$5,4,1)</f>
        <v>45748</v>
      </c>
      <c r="I9" s="7">
        <f>DATE(E$5,5,1)</f>
        <v>45778</v>
      </c>
      <c r="J9" s="7">
        <f>DATE(E$5,6,1)</f>
        <v>45809</v>
      </c>
      <c r="K9" s="7">
        <f>DATE(E$5,7,1)</f>
        <v>45839</v>
      </c>
      <c r="L9" s="7">
        <f>DATE(E$5,8,1)</f>
        <v>45870</v>
      </c>
      <c r="M9" s="7">
        <f>DATE(E$5,9,1)</f>
        <v>45901</v>
      </c>
      <c r="N9" s="7">
        <f>DATE(E$5,10,1)</f>
        <v>45931</v>
      </c>
      <c r="O9" s="7">
        <f>DATE(E$5,11,1)</f>
        <v>45962</v>
      </c>
      <c r="P9" s="7">
        <f>DATE(E$5,12,1)</f>
        <v>45992</v>
      </c>
      <c r="Q9" s="8">
        <f>E$5</f>
        <v>2025</v>
      </c>
      <c r="S9" s="7">
        <f>DATE(S$5,1,1)</f>
        <v>46023</v>
      </c>
      <c r="T9" s="7">
        <f>DATE(S$5,2,1)</f>
        <v>46054</v>
      </c>
      <c r="U9" s="7">
        <f>DATE(S$5,3,1)</f>
        <v>46082</v>
      </c>
      <c r="V9" s="7">
        <f>DATE(S$5,4,1)</f>
        <v>46113</v>
      </c>
      <c r="W9" s="7">
        <f>DATE(S$5,5,1)</f>
        <v>46143</v>
      </c>
      <c r="X9" s="7">
        <f>DATE(S$5,6,1)</f>
        <v>46174</v>
      </c>
      <c r="Y9" s="7">
        <f>DATE(S$5,7,1)</f>
        <v>46204</v>
      </c>
      <c r="Z9" s="7">
        <f>DATE(S$5,8,1)</f>
        <v>46235</v>
      </c>
      <c r="AA9" s="7">
        <f>DATE(S$5,9,1)</f>
        <v>46266</v>
      </c>
      <c r="AB9" s="7">
        <f>DATE(S$5,10,1)</f>
        <v>46296</v>
      </c>
      <c r="AC9" s="7">
        <f>DATE(S$5,11,1)</f>
        <v>46327</v>
      </c>
      <c r="AD9" s="7">
        <f>DATE(S$5,12,1)</f>
        <v>46357</v>
      </c>
      <c r="AE9" s="8">
        <f>S$5</f>
        <v>2026</v>
      </c>
      <c r="AG9" s="7">
        <f>DATE(AG$5,1,1)</f>
        <v>46388</v>
      </c>
      <c r="AH9" s="7">
        <f>DATE(AG$5,2,1)</f>
        <v>46419</v>
      </c>
      <c r="AI9" s="7">
        <f>DATE(AG$5,3,1)</f>
        <v>46447</v>
      </c>
      <c r="AJ9" s="7">
        <f>DATE(AG$5,4,1)</f>
        <v>46478</v>
      </c>
      <c r="AK9" s="7">
        <f>DATE(AG$5,5,1)</f>
        <v>46508</v>
      </c>
      <c r="AL9" s="7">
        <f>DATE(AG$5,6,1)</f>
        <v>46539</v>
      </c>
      <c r="AM9" s="7">
        <f>DATE(AG$5,7,1)</f>
        <v>46569</v>
      </c>
      <c r="AN9" s="7">
        <f>DATE(AG$5,8,1)</f>
        <v>46600</v>
      </c>
      <c r="AO9" s="7">
        <f>DATE(AG$5,9,1)</f>
        <v>46631</v>
      </c>
      <c r="AP9" s="7">
        <f>DATE(AG$5,10,1)</f>
        <v>46661</v>
      </c>
      <c r="AQ9" s="7">
        <f>DATE(AG$5,11,1)</f>
        <v>46692</v>
      </c>
      <c r="AR9" s="7">
        <f>DATE(AG$5,12,1)</f>
        <v>46722</v>
      </c>
      <c r="AS9" s="8">
        <f>AG$5</f>
        <v>2027</v>
      </c>
      <c r="AU9" s="7">
        <f>DATE(AU$5,1,1)</f>
        <v>46753</v>
      </c>
      <c r="AV9" s="7">
        <f>DATE(AU$5,2,1)</f>
        <v>46784</v>
      </c>
      <c r="AW9" s="7">
        <f>DATE(AU$5,3,1)</f>
        <v>46813</v>
      </c>
      <c r="AX9" s="7">
        <f>DATE(AU$5,4,1)</f>
        <v>46844</v>
      </c>
      <c r="AY9" s="7">
        <f>DATE(AU$5,5,1)</f>
        <v>46874</v>
      </c>
      <c r="AZ9" s="7">
        <f>DATE(AU$5,6,1)</f>
        <v>46905</v>
      </c>
      <c r="BA9" s="7">
        <f>DATE(AU$5,7,1)</f>
        <v>46935</v>
      </c>
      <c r="BB9" s="7">
        <f>DATE(AU$5,8,1)</f>
        <v>46966</v>
      </c>
      <c r="BC9" s="7">
        <f>DATE(AU$5,9,1)</f>
        <v>46997</v>
      </c>
      <c r="BD9" s="7">
        <f>DATE(AU$5,10,1)</f>
        <v>47027</v>
      </c>
      <c r="BE9" s="7">
        <f>DATE(AU$5,11,1)</f>
        <v>47058</v>
      </c>
      <c r="BF9" s="7">
        <f>DATE(AU$5,12,1)</f>
        <v>47088</v>
      </c>
      <c r="BG9" s="8">
        <f>AU$5</f>
        <v>2028</v>
      </c>
      <c r="BI9" s="7">
        <f>DATE(BI$5,1,1)</f>
        <v>47119</v>
      </c>
      <c r="BJ9" s="7">
        <f>DATE(BI$5,2,1)</f>
        <v>47150</v>
      </c>
      <c r="BK9" s="7">
        <f>DATE(BI$5,3,1)</f>
        <v>47178</v>
      </c>
      <c r="BL9" s="7">
        <f>DATE(BI$5,4,1)</f>
        <v>47209</v>
      </c>
      <c r="BM9" s="7">
        <f>DATE(BI$5,5,1)</f>
        <v>47239</v>
      </c>
      <c r="BN9" s="7">
        <f>DATE(BI$5,6,1)</f>
        <v>47270</v>
      </c>
      <c r="BO9" s="7">
        <f>DATE(BI$5,7,1)</f>
        <v>47300</v>
      </c>
      <c r="BP9" s="7">
        <f>DATE(BI$5,8,1)</f>
        <v>47331</v>
      </c>
      <c r="BQ9" s="7">
        <f>DATE(BI$5,9,1)</f>
        <v>47362</v>
      </c>
      <c r="BR9" s="7">
        <f>DATE(BI$5,10,1)</f>
        <v>47392</v>
      </c>
      <c r="BS9" s="7">
        <f>DATE(BI$5,11,1)</f>
        <v>47423</v>
      </c>
      <c r="BT9" s="7">
        <f>DATE(BI$5,12,1)</f>
        <v>47453</v>
      </c>
      <c r="BU9" s="8">
        <f>BI$5</f>
        <v>2029</v>
      </c>
      <c r="BW9" s="7">
        <f>DATE(BW$5,1,1)</f>
        <v>47484</v>
      </c>
      <c r="BX9" s="7">
        <f>DATE(BW$5,2,1)</f>
        <v>47515</v>
      </c>
      <c r="BY9" s="7">
        <f>DATE(BW$5,3,1)</f>
        <v>47543</v>
      </c>
      <c r="BZ9" s="7">
        <f>DATE(BW$5,4,1)</f>
        <v>47574</v>
      </c>
      <c r="CA9" s="7">
        <f>DATE(BW$5,5,1)</f>
        <v>47604</v>
      </c>
      <c r="CB9" s="7">
        <f>DATE(BW$5,6,1)</f>
        <v>47635</v>
      </c>
      <c r="CC9" s="7">
        <f>DATE(BW$5,7,1)</f>
        <v>47665</v>
      </c>
      <c r="CD9" s="7">
        <f>DATE(BW$5,8,1)</f>
        <v>47696</v>
      </c>
      <c r="CE9" s="7">
        <f>DATE(BW$5,9,1)</f>
        <v>47727</v>
      </c>
      <c r="CF9" s="7">
        <f>DATE(BW$5,10,1)</f>
        <v>47757</v>
      </c>
      <c r="CG9" s="7">
        <f>DATE(BW$5,11,1)</f>
        <v>47788</v>
      </c>
      <c r="CH9" s="7">
        <f>DATE(BW$5,12,1)</f>
        <v>47818</v>
      </c>
      <c r="CI9" s="8">
        <f>BW$5</f>
        <v>2030</v>
      </c>
    </row>
    <row r="10" spans="3:88" x14ac:dyDescent="0.25">
      <c r="C10" s="4" t="s">
        <v>2</v>
      </c>
      <c r="D10" s="5"/>
      <c r="E10" s="6"/>
      <c r="F10" s="6"/>
      <c r="G10" s="6"/>
      <c r="H10" s="6"/>
      <c r="I10" s="6"/>
      <c r="J10" s="6"/>
      <c r="K10" s="6"/>
      <c r="L10" s="6"/>
      <c r="M10" s="6">
        <v>4234</v>
      </c>
      <c r="N10" s="6">
        <v>4234</v>
      </c>
      <c r="O10" s="6">
        <v>4234</v>
      </c>
      <c r="P10" s="6">
        <v>4234</v>
      </c>
      <c r="Q10" s="10">
        <f>SUM(E10:P10)</f>
        <v>16936</v>
      </c>
      <c r="S10" s="6">
        <v>5083.34</v>
      </c>
      <c r="T10" s="6">
        <v>5083.34</v>
      </c>
      <c r="U10" s="6">
        <v>5210.41</v>
      </c>
      <c r="V10" s="6">
        <v>5210.41</v>
      </c>
      <c r="W10" s="6">
        <v>5210.41</v>
      </c>
      <c r="X10" s="6">
        <v>5210.41</v>
      </c>
      <c r="Y10" s="6">
        <v>5210.41</v>
      </c>
      <c r="Z10" s="6">
        <v>5210.41</v>
      </c>
      <c r="AA10" s="6">
        <v>5210.41</v>
      </c>
      <c r="AB10" s="6">
        <v>5210.41</v>
      </c>
      <c r="AC10" s="6">
        <v>5210.41</v>
      </c>
      <c r="AD10" s="6">
        <v>5210.41</v>
      </c>
      <c r="AE10" s="10">
        <f>SUM(S10:AD10)</f>
        <v>62270.780000000013</v>
      </c>
      <c r="AG10" s="6">
        <v>5083.34</v>
      </c>
      <c r="AH10" s="6">
        <v>5083.34</v>
      </c>
      <c r="AI10" s="6">
        <v>5083.34</v>
      </c>
      <c r="AJ10" s="6">
        <v>5083.34</v>
      </c>
      <c r="AK10" s="6">
        <v>5083.34</v>
      </c>
      <c r="AL10" s="6">
        <v>5083.34</v>
      </c>
      <c r="AM10" s="6">
        <v>5083.34</v>
      </c>
      <c r="AN10" s="6">
        <v>5083.34</v>
      </c>
      <c r="AO10" s="6">
        <v>5083.34</v>
      </c>
      <c r="AP10" s="6">
        <v>5083.34</v>
      </c>
      <c r="AQ10" s="6">
        <v>5083.34</v>
      </c>
      <c r="AR10" s="6">
        <v>5083.34</v>
      </c>
      <c r="AS10" s="10">
        <f>SUM(AG10:AR10)</f>
        <v>61000.079999999987</v>
      </c>
      <c r="AU10" s="6"/>
      <c r="AV10" s="6"/>
      <c r="AW10" s="6"/>
      <c r="AX10" s="6"/>
      <c r="AY10" s="6"/>
      <c r="AZ10" s="6"/>
      <c r="BA10" s="6"/>
      <c r="BB10" s="6"/>
      <c r="BC10" s="6"/>
      <c r="BD10" s="6"/>
      <c r="BE10" s="6"/>
      <c r="BF10" s="6"/>
      <c r="BG10" s="10">
        <f>SUM(AU10:BF10)</f>
        <v>0</v>
      </c>
      <c r="BI10" s="6"/>
      <c r="BJ10" s="6"/>
      <c r="BK10" s="6"/>
      <c r="BL10" s="6"/>
      <c r="BM10" s="6"/>
      <c r="BN10" s="6"/>
      <c r="BO10" s="6"/>
      <c r="BP10" s="6"/>
      <c r="BQ10" s="6"/>
      <c r="BR10" s="6"/>
      <c r="BS10" s="6"/>
      <c r="BT10" s="6"/>
      <c r="BU10" s="10">
        <f>SUM(BI10:BT10)</f>
        <v>0</v>
      </c>
      <c r="BW10" s="6"/>
      <c r="BX10" s="6"/>
      <c r="BY10" s="6"/>
      <c r="BZ10" s="6"/>
      <c r="CA10" s="6"/>
      <c r="CB10" s="6"/>
      <c r="CC10" s="6"/>
      <c r="CD10" s="6"/>
      <c r="CE10" s="6"/>
      <c r="CF10" s="6"/>
      <c r="CG10" s="6"/>
      <c r="CH10" s="6"/>
      <c r="CI10" s="10">
        <f>SUM(BW10:CH10)</f>
        <v>0</v>
      </c>
    </row>
    <row r="11" spans="3:88" x14ac:dyDescent="0.25">
      <c r="C11" s="4" t="s">
        <v>3</v>
      </c>
      <c r="D11" s="5"/>
      <c r="E11" s="6"/>
      <c r="F11" s="6"/>
      <c r="G11" s="6"/>
      <c r="H11" s="6"/>
      <c r="I11" s="6"/>
      <c r="J11" s="6"/>
      <c r="K11" s="6"/>
      <c r="L11" s="6"/>
      <c r="M11" s="6"/>
      <c r="N11" s="6"/>
      <c r="O11" s="6"/>
      <c r="P11" s="6"/>
      <c r="Q11" s="10">
        <f t="shared" ref="Q11:Q20" si="6">SUM(E11:P11)</f>
        <v>0</v>
      </c>
      <c r="S11" s="6"/>
      <c r="T11" s="6"/>
      <c r="U11" s="6"/>
      <c r="V11" s="6"/>
      <c r="W11" s="6"/>
      <c r="X11" s="6"/>
      <c r="Y11" s="6"/>
      <c r="Z11" s="6"/>
      <c r="AA11" s="6"/>
      <c r="AB11" s="6"/>
      <c r="AC11" s="6"/>
      <c r="AD11" s="6"/>
      <c r="AE11" s="10">
        <f t="shared" ref="AE11:AE20" si="7">SUM(S11:AD11)</f>
        <v>0</v>
      </c>
      <c r="AG11" s="6"/>
      <c r="AH11" s="6"/>
      <c r="AI11" s="6"/>
      <c r="AJ11" s="6"/>
      <c r="AK11" s="6"/>
      <c r="AL11" s="6"/>
      <c r="AM11" s="6"/>
      <c r="AN11" s="6"/>
      <c r="AO11" s="6"/>
      <c r="AP11" s="6"/>
      <c r="AQ11" s="6"/>
      <c r="AR11" s="6"/>
      <c r="AS11" s="10">
        <f t="shared" ref="AS11:AS20" si="8">SUM(AG11:AR11)</f>
        <v>0</v>
      </c>
      <c r="AU11" s="6"/>
      <c r="AV11" s="6"/>
      <c r="AW11" s="6"/>
      <c r="AX11" s="6"/>
      <c r="AY11" s="6"/>
      <c r="AZ11" s="6"/>
      <c r="BA11" s="6"/>
      <c r="BB11" s="6"/>
      <c r="BC11" s="6"/>
      <c r="BD11" s="6"/>
      <c r="BE11" s="6"/>
      <c r="BF11" s="6"/>
      <c r="BG11" s="10">
        <f t="shared" ref="BG11:BG20" si="9">SUM(AU11:BF11)</f>
        <v>0</v>
      </c>
      <c r="BI11" s="6"/>
      <c r="BJ11" s="6"/>
      <c r="BK11" s="6"/>
      <c r="BL11" s="6"/>
      <c r="BM11" s="6"/>
      <c r="BN11" s="6"/>
      <c r="BO11" s="6"/>
      <c r="BP11" s="6"/>
      <c r="BQ11" s="6"/>
      <c r="BR11" s="6"/>
      <c r="BS11" s="6"/>
      <c r="BT11" s="6"/>
      <c r="BU11" s="10">
        <f t="shared" ref="BU11:BU20" si="10">SUM(BI11:BT11)</f>
        <v>0</v>
      </c>
      <c r="BW11" s="6"/>
      <c r="BX11" s="6"/>
      <c r="BY11" s="6"/>
      <c r="BZ11" s="6"/>
      <c r="CA11" s="6"/>
      <c r="CB11" s="6"/>
      <c r="CC11" s="6"/>
      <c r="CD11" s="6"/>
      <c r="CE11" s="6"/>
      <c r="CF11" s="6"/>
      <c r="CG11" s="6"/>
      <c r="CH11" s="6"/>
      <c r="CI11" s="10">
        <f t="shared" ref="CI11:CI20" si="11">SUM(BW11:CH11)</f>
        <v>0</v>
      </c>
    </row>
    <row r="12" spans="3:88" x14ac:dyDescent="0.25">
      <c r="C12" s="4" t="s">
        <v>4</v>
      </c>
      <c r="D12" s="5"/>
      <c r="E12" s="6"/>
      <c r="F12" s="6"/>
      <c r="G12" s="6"/>
      <c r="H12" s="6"/>
      <c r="I12" s="6"/>
      <c r="J12" s="6"/>
      <c r="K12" s="6"/>
      <c r="L12" s="6"/>
      <c r="M12" s="6"/>
      <c r="N12" s="6"/>
      <c r="O12" s="6"/>
      <c r="P12" s="6"/>
      <c r="Q12" s="10">
        <f t="shared" si="6"/>
        <v>0</v>
      </c>
      <c r="S12" s="6"/>
      <c r="T12" s="6"/>
      <c r="U12" s="6"/>
      <c r="V12" s="6"/>
      <c r="W12" s="6"/>
      <c r="X12" s="6"/>
      <c r="Y12" s="6"/>
      <c r="Z12" s="6"/>
      <c r="AA12" s="6"/>
      <c r="AB12" s="6"/>
      <c r="AC12" s="6"/>
      <c r="AD12" s="6"/>
      <c r="AE12" s="10">
        <f t="shared" si="7"/>
        <v>0</v>
      </c>
      <c r="AG12" s="6"/>
      <c r="AH12" s="6"/>
      <c r="AI12" s="6"/>
      <c r="AJ12" s="6"/>
      <c r="AK12" s="6"/>
      <c r="AL12" s="6"/>
      <c r="AM12" s="6"/>
      <c r="AN12" s="6"/>
      <c r="AO12" s="6"/>
      <c r="AP12" s="6"/>
      <c r="AQ12" s="6"/>
      <c r="AR12" s="6"/>
      <c r="AS12" s="10">
        <f t="shared" si="8"/>
        <v>0</v>
      </c>
      <c r="AU12" s="6"/>
      <c r="AV12" s="6"/>
      <c r="AW12" s="6"/>
      <c r="AX12" s="6"/>
      <c r="AY12" s="6"/>
      <c r="AZ12" s="6"/>
      <c r="BA12" s="6"/>
      <c r="BB12" s="6"/>
      <c r="BC12" s="6"/>
      <c r="BD12" s="6"/>
      <c r="BE12" s="6"/>
      <c r="BF12" s="6"/>
      <c r="BG12" s="10">
        <f t="shared" si="9"/>
        <v>0</v>
      </c>
      <c r="BI12" s="6"/>
      <c r="BJ12" s="6"/>
      <c r="BK12" s="6"/>
      <c r="BL12" s="6"/>
      <c r="BM12" s="6"/>
      <c r="BN12" s="6"/>
      <c r="BO12" s="6"/>
      <c r="BP12" s="6"/>
      <c r="BQ12" s="6"/>
      <c r="BR12" s="6"/>
      <c r="BS12" s="6"/>
      <c r="BT12" s="6"/>
      <c r="BU12" s="10">
        <f t="shared" si="10"/>
        <v>0</v>
      </c>
      <c r="BW12" s="6"/>
      <c r="BX12" s="6"/>
      <c r="BY12" s="6"/>
      <c r="BZ12" s="6"/>
      <c r="CA12" s="6"/>
      <c r="CB12" s="6"/>
      <c r="CC12" s="6"/>
      <c r="CD12" s="6"/>
      <c r="CE12" s="6"/>
      <c r="CF12" s="6"/>
      <c r="CG12" s="6"/>
      <c r="CH12" s="6"/>
      <c r="CI12" s="10">
        <f t="shared" si="11"/>
        <v>0</v>
      </c>
    </row>
    <row r="13" spans="3:88" x14ac:dyDescent="0.25">
      <c r="C13" s="4" t="s">
        <v>102</v>
      </c>
      <c r="D13" s="5"/>
      <c r="E13" s="6"/>
      <c r="F13" s="6"/>
      <c r="G13" s="6"/>
      <c r="H13" s="6"/>
      <c r="I13" s="6"/>
      <c r="J13" s="6"/>
      <c r="K13" s="6"/>
      <c r="L13" s="6"/>
      <c r="M13" s="6"/>
      <c r="N13" s="6"/>
      <c r="O13" s="6"/>
      <c r="P13" s="6"/>
      <c r="Q13" s="10">
        <f t="shared" si="6"/>
        <v>0</v>
      </c>
      <c r="S13" s="6"/>
      <c r="T13" s="6"/>
      <c r="U13" s="6"/>
      <c r="V13" s="6">
        <v>1780</v>
      </c>
      <c r="W13" s="6"/>
      <c r="X13" s="6"/>
      <c r="Y13" s="6"/>
      <c r="Z13" s="6"/>
      <c r="AA13" s="6"/>
      <c r="AB13" s="6"/>
      <c r="AC13" s="6"/>
      <c r="AD13" s="6"/>
      <c r="AE13" s="10">
        <f t="shared" si="7"/>
        <v>1780</v>
      </c>
      <c r="AG13" s="6"/>
      <c r="AH13" s="6"/>
      <c r="AI13" s="6"/>
      <c r="AJ13" s="6"/>
      <c r="AK13" s="6"/>
      <c r="AL13" s="6"/>
      <c r="AM13" s="6"/>
      <c r="AN13" s="6"/>
      <c r="AO13" s="6"/>
      <c r="AP13" s="6"/>
      <c r="AQ13" s="6"/>
      <c r="AR13" s="6"/>
      <c r="AS13" s="10">
        <f t="shared" si="8"/>
        <v>0</v>
      </c>
      <c r="AU13" s="6"/>
      <c r="AV13" s="6"/>
      <c r="AW13" s="6"/>
      <c r="AX13" s="6"/>
      <c r="AY13" s="6"/>
      <c r="AZ13" s="6"/>
      <c r="BA13" s="6"/>
      <c r="BB13" s="6"/>
      <c r="BC13" s="6"/>
      <c r="BD13" s="6"/>
      <c r="BE13" s="6"/>
      <c r="BF13" s="6"/>
      <c r="BG13" s="10">
        <f t="shared" si="9"/>
        <v>0</v>
      </c>
      <c r="BI13" s="6"/>
      <c r="BJ13" s="6"/>
      <c r="BK13" s="6"/>
      <c r="BL13" s="6"/>
      <c r="BM13" s="6"/>
      <c r="BN13" s="6"/>
      <c r="BO13" s="6"/>
      <c r="BP13" s="6"/>
      <c r="BQ13" s="6"/>
      <c r="BR13" s="6"/>
      <c r="BS13" s="6"/>
      <c r="BT13" s="6"/>
      <c r="BU13" s="10">
        <f t="shared" si="10"/>
        <v>0</v>
      </c>
      <c r="BW13" s="6"/>
      <c r="BX13" s="6"/>
      <c r="BY13" s="6"/>
      <c r="BZ13" s="6"/>
      <c r="CA13" s="6"/>
      <c r="CB13" s="6"/>
      <c r="CC13" s="6"/>
      <c r="CD13" s="6"/>
      <c r="CE13" s="6"/>
      <c r="CF13" s="6"/>
      <c r="CG13" s="6"/>
      <c r="CH13" s="6"/>
      <c r="CI13" s="10">
        <f t="shared" si="11"/>
        <v>0</v>
      </c>
    </row>
    <row r="14" spans="3:88" x14ac:dyDescent="0.25">
      <c r="C14" s="4" t="s">
        <v>163</v>
      </c>
      <c r="D14" s="5"/>
      <c r="E14" s="6"/>
      <c r="F14" s="6"/>
      <c r="G14" s="6"/>
      <c r="H14" s="6"/>
      <c r="I14" s="6"/>
      <c r="J14" s="6"/>
      <c r="K14" s="6"/>
      <c r="L14" s="6"/>
      <c r="M14" s="6"/>
      <c r="N14" s="6"/>
      <c r="O14" s="6"/>
      <c r="P14" s="6"/>
      <c r="Q14" s="10">
        <f t="shared" si="6"/>
        <v>0</v>
      </c>
      <c r="S14" s="6"/>
      <c r="T14" s="6"/>
      <c r="U14" s="6"/>
      <c r="V14" s="6"/>
      <c r="W14" s="6"/>
      <c r="X14" s="6"/>
      <c r="Y14" s="6"/>
      <c r="Z14" s="6"/>
      <c r="AA14" s="6"/>
      <c r="AB14" s="6"/>
      <c r="AC14" s="6"/>
      <c r="AD14" s="6"/>
      <c r="AE14" s="10">
        <f t="shared" si="7"/>
        <v>0</v>
      </c>
      <c r="AG14" s="6"/>
      <c r="AH14" s="6"/>
      <c r="AI14" s="6"/>
      <c r="AJ14" s="6"/>
      <c r="AK14" s="6"/>
      <c r="AL14" s="6"/>
      <c r="AM14" s="6"/>
      <c r="AN14" s="6"/>
      <c r="AO14" s="6"/>
      <c r="AP14" s="6"/>
      <c r="AQ14" s="6"/>
      <c r="AR14" s="6"/>
      <c r="AS14" s="10">
        <f t="shared" si="8"/>
        <v>0</v>
      </c>
      <c r="AU14" s="6"/>
      <c r="AV14" s="6"/>
      <c r="AW14" s="6"/>
      <c r="AX14" s="6"/>
      <c r="AY14" s="6"/>
      <c r="AZ14" s="6"/>
      <c r="BA14" s="6"/>
      <c r="BB14" s="6"/>
      <c r="BC14" s="6"/>
      <c r="BD14" s="6"/>
      <c r="BE14" s="6"/>
      <c r="BF14" s="6"/>
      <c r="BG14" s="10">
        <f t="shared" si="9"/>
        <v>0</v>
      </c>
      <c r="BI14" s="6"/>
      <c r="BJ14" s="6"/>
      <c r="BK14" s="6"/>
      <c r="BL14" s="6"/>
      <c r="BM14" s="6"/>
      <c r="BN14" s="6"/>
      <c r="BO14" s="6"/>
      <c r="BP14" s="6"/>
      <c r="BQ14" s="6"/>
      <c r="BR14" s="6"/>
      <c r="BS14" s="6"/>
      <c r="BT14" s="6"/>
      <c r="BU14" s="10">
        <f t="shared" si="10"/>
        <v>0</v>
      </c>
      <c r="BW14" s="6"/>
      <c r="BX14" s="6"/>
      <c r="BY14" s="6"/>
      <c r="BZ14" s="6"/>
      <c r="CA14" s="6"/>
      <c r="CB14" s="6"/>
      <c r="CC14" s="6"/>
      <c r="CD14" s="6"/>
      <c r="CE14" s="6"/>
      <c r="CF14" s="6"/>
      <c r="CG14" s="6"/>
      <c r="CH14" s="6"/>
      <c r="CI14" s="10">
        <f t="shared" si="11"/>
        <v>0</v>
      </c>
    </row>
    <row r="15" spans="3:88" x14ac:dyDescent="0.25">
      <c r="C15" s="4" t="s">
        <v>5</v>
      </c>
      <c r="D15" s="5"/>
      <c r="E15" s="6"/>
      <c r="F15" s="6"/>
      <c r="G15" s="6"/>
      <c r="H15" s="6"/>
      <c r="I15" s="6"/>
      <c r="J15" s="6"/>
      <c r="K15" s="6"/>
      <c r="L15" s="6"/>
      <c r="M15" s="6"/>
      <c r="N15" s="6"/>
      <c r="O15" s="6"/>
      <c r="P15" s="6"/>
      <c r="Q15" s="10">
        <f t="shared" si="6"/>
        <v>0</v>
      </c>
      <c r="S15" s="6"/>
      <c r="T15" s="6"/>
      <c r="U15" s="6"/>
      <c r="V15" s="6"/>
      <c r="W15" s="6"/>
      <c r="X15" s="6"/>
      <c r="Y15" s="6"/>
      <c r="Z15" s="6"/>
      <c r="AA15" s="6"/>
      <c r="AB15" s="6"/>
      <c r="AC15" s="6"/>
      <c r="AD15" s="6"/>
      <c r="AE15" s="10">
        <f t="shared" si="7"/>
        <v>0</v>
      </c>
      <c r="AG15" s="6"/>
      <c r="AH15" s="6"/>
      <c r="AI15" s="6"/>
      <c r="AJ15" s="6"/>
      <c r="AK15" s="6"/>
      <c r="AL15" s="6"/>
      <c r="AM15" s="6"/>
      <c r="AN15" s="6"/>
      <c r="AO15" s="6"/>
      <c r="AP15" s="6"/>
      <c r="AQ15" s="6"/>
      <c r="AR15" s="6"/>
      <c r="AS15" s="10">
        <f t="shared" si="8"/>
        <v>0</v>
      </c>
      <c r="AU15" s="6"/>
      <c r="AV15" s="6"/>
      <c r="AW15" s="6"/>
      <c r="AX15" s="6"/>
      <c r="AY15" s="6"/>
      <c r="AZ15" s="6"/>
      <c r="BA15" s="6"/>
      <c r="BB15" s="6"/>
      <c r="BC15" s="6"/>
      <c r="BD15" s="6"/>
      <c r="BE15" s="6"/>
      <c r="BF15" s="6"/>
      <c r="BG15" s="10">
        <f t="shared" si="9"/>
        <v>0</v>
      </c>
      <c r="BI15" s="6"/>
      <c r="BJ15" s="6"/>
      <c r="BK15" s="6"/>
      <c r="BL15" s="6"/>
      <c r="BM15" s="6"/>
      <c r="BN15" s="6"/>
      <c r="BO15" s="6"/>
      <c r="BP15" s="6"/>
      <c r="BQ15" s="6"/>
      <c r="BR15" s="6"/>
      <c r="BS15" s="6"/>
      <c r="BT15" s="6"/>
      <c r="BU15" s="10">
        <f t="shared" si="10"/>
        <v>0</v>
      </c>
      <c r="BW15" s="6"/>
      <c r="BX15" s="6"/>
      <c r="BY15" s="6"/>
      <c r="BZ15" s="6"/>
      <c r="CA15" s="6"/>
      <c r="CB15" s="6"/>
      <c r="CC15" s="6"/>
      <c r="CD15" s="6"/>
      <c r="CE15" s="6"/>
      <c r="CF15" s="6"/>
      <c r="CG15" s="6"/>
      <c r="CH15" s="6"/>
      <c r="CI15" s="10">
        <f t="shared" si="11"/>
        <v>0</v>
      </c>
    </row>
    <row r="16" spans="3:88" hidden="1" x14ac:dyDescent="0.25">
      <c r="C16" s="4" t="s">
        <v>5</v>
      </c>
      <c r="D16" s="5"/>
      <c r="E16" s="6"/>
      <c r="F16" s="6"/>
      <c r="G16" s="6"/>
      <c r="H16" s="6"/>
      <c r="I16" s="6"/>
      <c r="J16" s="6"/>
      <c r="K16" s="6"/>
      <c r="L16" s="6"/>
      <c r="M16" s="6"/>
      <c r="N16" s="6"/>
      <c r="O16" s="6"/>
      <c r="P16" s="6"/>
      <c r="Q16" s="10">
        <f t="shared" si="6"/>
        <v>0</v>
      </c>
      <c r="S16" s="6"/>
      <c r="T16" s="6"/>
      <c r="U16" s="6"/>
      <c r="V16" s="6"/>
      <c r="W16" s="6"/>
      <c r="X16" s="6"/>
      <c r="Y16" s="6"/>
      <c r="Z16" s="6"/>
      <c r="AA16" s="6"/>
      <c r="AB16" s="6"/>
      <c r="AC16" s="6"/>
      <c r="AD16" s="6"/>
      <c r="AE16" s="10">
        <f t="shared" si="7"/>
        <v>0</v>
      </c>
      <c r="AG16" s="6"/>
      <c r="AH16" s="6"/>
      <c r="AI16" s="6"/>
      <c r="AJ16" s="6"/>
      <c r="AK16" s="6"/>
      <c r="AL16" s="6"/>
      <c r="AM16" s="6"/>
      <c r="AN16" s="6"/>
      <c r="AO16" s="6"/>
      <c r="AP16" s="6"/>
      <c r="AQ16" s="6"/>
      <c r="AR16" s="6"/>
      <c r="AS16" s="10">
        <f t="shared" si="8"/>
        <v>0</v>
      </c>
      <c r="AU16" s="6"/>
      <c r="AV16" s="6"/>
      <c r="AW16" s="6"/>
      <c r="AX16" s="6"/>
      <c r="AY16" s="6"/>
      <c r="AZ16" s="6"/>
      <c r="BA16" s="6"/>
      <c r="BB16" s="6"/>
      <c r="BC16" s="6"/>
      <c r="BD16" s="6"/>
      <c r="BE16" s="6"/>
      <c r="BF16" s="6"/>
      <c r="BG16" s="10">
        <f t="shared" si="9"/>
        <v>0</v>
      </c>
      <c r="BI16" s="6"/>
      <c r="BJ16" s="6"/>
      <c r="BK16" s="6"/>
      <c r="BL16" s="6"/>
      <c r="BM16" s="6"/>
      <c r="BN16" s="6"/>
      <c r="BO16" s="6"/>
      <c r="BP16" s="6"/>
      <c r="BQ16" s="6"/>
      <c r="BR16" s="6"/>
      <c r="BS16" s="6"/>
      <c r="BT16" s="6"/>
      <c r="BU16" s="10">
        <f t="shared" si="10"/>
        <v>0</v>
      </c>
      <c r="BW16" s="6"/>
      <c r="BX16" s="6"/>
      <c r="BY16" s="6"/>
      <c r="BZ16" s="6"/>
      <c r="CA16" s="6"/>
      <c r="CB16" s="6"/>
      <c r="CC16" s="6"/>
      <c r="CD16" s="6"/>
      <c r="CE16" s="6"/>
      <c r="CF16" s="6"/>
      <c r="CG16" s="6"/>
      <c r="CH16" s="6"/>
      <c r="CI16" s="10">
        <f t="shared" si="11"/>
        <v>0</v>
      </c>
    </row>
    <row r="17" spans="3:87" hidden="1" x14ac:dyDescent="0.25">
      <c r="C17" s="4" t="s">
        <v>5</v>
      </c>
      <c r="D17" s="5"/>
      <c r="E17" s="6"/>
      <c r="F17" s="6"/>
      <c r="G17" s="6"/>
      <c r="H17" s="6"/>
      <c r="I17" s="6"/>
      <c r="J17" s="6"/>
      <c r="K17" s="6"/>
      <c r="L17" s="6"/>
      <c r="M17" s="6"/>
      <c r="N17" s="6"/>
      <c r="O17" s="6"/>
      <c r="P17" s="6"/>
      <c r="Q17" s="10">
        <f t="shared" si="6"/>
        <v>0</v>
      </c>
      <c r="S17" s="6"/>
      <c r="T17" s="6"/>
      <c r="U17" s="6"/>
      <c r="V17" s="6"/>
      <c r="W17" s="6"/>
      <c r="X17" s="6"/>
      <c r="Y17" s="6"/>
      <c r="Z17" s="6"/>
      <c r="AA17" s="6"/>
      <c r="AB17" s="6"/>
      <c r="AC17" s="6"/>
      <c r="AD17" s="6"/>
      <c r="AE17" s="10">
        <f t="shared" si="7"/>
        <v>0</v>
      </c>
      <c r="AG17" s="6"/>
      <c r="AH17" s="6"/>
      <c r="AI17" s="6"/>
      <c r="AJ17" s="6"/>
      <c r="AK17" s="6"/>
      <c r="AL17" s="6"/>
      <c r="AM17" s="6"/>
      <c r="AN17" s="6"/>
      <c r="AO17" s="6"/>
      <c r="AP17" s="6"/>
      <c r="AQ17" s="6"/>
      <c r="AR17" s="6"/>
      <c r="AS17" s="10">
        <f t="shared" si="8"/>
        <v>0</v>
      </c>
      <c r="AU17" s="6"/>
      <c r="AV17" s="6"/>
      <c r="AW17" s="6"/>
      <c r="AX17" s="6"/>
      <c r="AY17" s="6"/>
      <c r="AZ17" s="6"/>
      <c r="BA17" s="6"/>
      <c r="BB17" s="6"/>
      <c r="BC17" s="6"/>
      <c r="BD17" s="6"/>
      <c r="BE17" s="6"/>
      <c r="BF17" s="6"/>
      <c r="BG17" s="10">
        <f t="shared" si="9"/>
        <v>0</v>
      </c>
      <c r="BI17" s="6"/>
      <c r="BJ17" s="6"/>
      <c r="BK17" s="6"/>
      <c r="BL17" s="6"/>
      <c r="BM17" s="6"/>
      <c r="BN17" s="6"/>
      <c r="BO17" s="6"/>
      <c r="BP17" s="6"/>
      <c r="BQ17" s="6"/>
      <c r="BR17" s="6"/>
      <c r="BS17" s="6"/>
      <c r="BT17" s="6"/>
      <c r="BU17" s="10">
        <f t="shared" si="10"/>
        <v>0</v>
      </c>
      <c r="BW17" s="6"/>
      <c r="BX17" s="6"/>
      <c r="BY17" s="6"/>
      <c r="BZ17" s="6"/>
      <c r="CA17" s="6"/>
      <c r="CB17" s="6"/>
      <c r="CC17" s="6"/>
      <c r="CD17" s="6"/>
      <c r="CE17" s="6"/>
      <c r="CF17" s="6"/>
      <c r="CG17" s="6"/>
      <c r="CH17" s="6"/>
      <c r="CI17" s="10">
        <f t="shared" si="11"/>
        <v>0</v>
      </c>
    </row>
    <row r="18" spans="3:87" hidden="1" x14ac:dyDescent="0.25">
      <c r="C18" s="4" t="s">
        <v>5</v>
      </c>
      <c r="D18" s="5"/>
      <c r="E18" s="6"/>
      <c r="F18" s="6"/>
      <c r="G18" s="6"/>
      <c r="H18" s="6"/>
      <c r="I18" s="6"/>
      <c r="J18" s="6"/>
      <c r="K18" s="6"/>
      <c r="L18" s="6"/>
      <c r="M18" s="6"/>
      <c r="N18" s="6"/>
      <c r="O18" s="6"/>
      <c r="P18" s="6"/>
      <c r="Q18" s="10">
        <f t="shared" si="6"/>
        <v>0</v>
      </c>
      <c r="S18" s="6"/>
      <c r="T18" s="6"/>
      <c r="U18" s="6"/>
      <c r="V18" s="6"/>
      <c r="W18" s="6"/>
      <c r="X18" s="6"/>
      <c r="Y18" s="6"/>
      <c r="Z18" s="6"/>
      <c r="AA18" s="6"/>
      <c r="AB18" s="6"/>
      <c r="AC18" s="6"/>
      <c r="AD18" s="6"/>
      <c r="AE18" s="10">
        <f t="shared" si="7"/>
        <v>0</v>
      </c>
      <c r="AG18" s="6"/>
      <c r="AH18" s="6"/>
      <c r="AI18" s="6"/>
      <c r="AJ18" s="6"/>
      <c r="AK18" s="6"/>
      <c r="AL18" s="6"/>
      <c r="AM18" s="6"/>
      <c r="AN18" s="6"/>
      <c r="AO18" s="6"/>
      <c r="AP18" s="6"/>
      <c r="AQ18" s="6"/>
      <c r="AR18" s="6"/>
      <c r="AS18" s="10">
        <f t="shared" si="8"/>
        <v>0</v>
      </c>
      <c r="AU18" s="6"/>
      <c r="AV18" s="6"/>
      <c r="AW18" s="6"/>
      <c r="AX18" s="6"/>
      <c r="AY18" s="6"/>
      <c r="AZ18" s="6"/>
      <c r="BA18" s="6"/>
      <c r="BB18" s="6"/>
      <c r="BC18" s="6"/>
      <c r="BD18" s="6"/>
      <c r="BE18" s="6"/>
      <c r="BF18" s="6"/>
      <c r="BG18" s="10">
        <f t="shared" si="9"/>
        <v>0</v>
      </c>
      <c r="BI18" s="6"/>
      <c r="BJ18" s="6"/>
      <c r="BK18" s="6"/>
      <c r="BL18" s="6"/>
      <c r="BM18" s="6"/>
      <c r="BN18" s="6"/>
      <c r="BO18" s="6"/>
      <c r="BP18" s="6"/>
      <c r="BQ18" s="6"/>
      <c r="BR18" s="6"/>
      <c r="BS18" s="6"/>
      <c r="BT18" s="6"/>
      <c r="BU18" s="10">
        <f t="shared" si="10"/>
        <v>0</v>
      </c>
      <c r="BW18" s="6"/>
      <c r="BX18" s="6"/>
      <c r="BY18" s="6"/>
      <c r="BZ18" s="6"/>
      <c r="CA18" s="6"/>
      <c r="CB18" s="6"/>
      <c r="CC18" s="6"/>
      <c r="CD18" s="6"/>
      <c r="CE18" s="6"/>
      <c r="CF18" s="6"/>
      <c r="CG18" s="6"/>
      <c r="CH18" s="6"/>
      <c r="CI18" s="10">
        <f t="shared" si="11"/>
        <v>0</v>
      </c>
    </row>
    <row r="19" spans="3:87" hidden="1" x14ac:dyDescent="0.25">
      <c r="C19" s="4" t="s">
        <v>5</v>
      </c>
      <c r="D19" s="5"/>
      <c r="E19" s="6"/>
      <c r="F19" s="6"/>
      <c r="G19" s="6"/>
      <c r="H19" s="6"/>
      <c r="I19" s="6"/>
      <c r="J19" s="6"/>
      <c r="K19" s="6"/>
      <c r="L19" s="6"/>
      <c r="M19" s="6"/>
      <c r="N19" s="6"/>
      <c r="O19" s="6"/>
      <c r="P19" s="6"/>
      <c r="Q19" s="10">
        <f t="shared" si="6"/>
        <v>0</v>
      </c>
      <c r="S19" s="6"/>
      <c r="T19" s="6"/>
      <c r="U19" s="6"/>
      <c r="V19" s="6"/>
      <c r="W19" s="6"/>
      <c r="X19" s="6"/>
      <c r="Y19" s="6"/>
      <c r="Z19" s="6"/>
      <c r="AA19" s="6"/>
      <c r="AB19" s="6"/>
      <c r="AC19" s="6"/>
      <c r="AD19" s="6"/>
      <c r="AE19" s="10">
        <f t="shared" si="7"/>
        <v>0</v>
      </c>
      <c r="AG19" s="6"/>
      <c r="AH19" s="6"/>
      <c r="AI19" s="6"/>
      <c r="AJ19" s="6"/>
      <c r="AK19" s="6"/>
      <c r="AL19" s="6"/>
      <c r="AM19" s="6"/>
      <c r="AN19" s="6"/>
      <c r="AO19" s="6"/>
      <c r="AP19" s="6"/>
      <c r="AQ19" s="6"/>
      <c r="AR19" s="6"/>
      <c r="AS19" s="10">
        <f t="shared" si="8"/>
        <v>0</v>
      </c>
      <c r="AU19" s="6"/>
      <c r="AV19" s="6"/>
      <c r="AW19" s="6"/>
      <c r="AX19" s="6"/>
      <c r="AY19" s="6"/>
      <c r="AZ19" s="6"/>
      <c r="BA19" s="6"/>
      <c r="BB19" s="6"/>
      <c r="BC19" s="6"/>
      <c r="BD19" s="6"/>
      <c r="BE19" s="6"/>
      <c r="BF19" s="6"/>
      <c r="BG19" s="10">
        <f t="shared" si="9"/>
        <v>0</v>
      </c>
      <c r="BI19" s="6"/>
      <c r="BJ19" s="6"/>
      <c r="BK19" s="6"/>
      <c r="BL19" s="6"/>
      <c r="BM19" s="6"/>
      <c r="BN19" s="6"/>
      <c r="BO19" s="6"/>
      <c r="BP19" s="6"/>
      <c r="BQ19" s="6"/>
      <c r="BR19" s="6"/>
      <c r="BS19" s="6"/>
      <c r="BT19" s="6"/>
      <c r="BU19" s="10">
        <f t="shared" si="10"/>
        <v>0</v>
      </c>
      <c r="BW19" s="6"/>
      <c r="BX19" s="6"/>
      <c r="BY19" s="6"/>
      <c r="BZ19" s="6"/>
      <c r="CA19" s="6"/>
      <c r="CB19" s="6"/>
      <c r="CC19" s="6"/>
      <c r="CD19" s="6"/>
      <c r="CE19" s="6"/>
      <c r="CF19" s="6"/>
      <c r="CG19" s="6"/>
      <c r="CH19" s="6"/>
      <c r="CI19" s="10">
        <f t="shared" si="11"/>
        <v>0</v>
      </c>
    </row>
    <row r="20" spans="3:87" hidden="1" x14ac:dyDescent="0.25">
      <c r="C20" s="4" t="s">
        <v>5</v>
      </c>
      <c r="D20" s="5"/>
      <c r="E20" s="6"/>
      <c r="F20" s="6"/>
      <c r="G20" s="6"/>
      <c r="H20" s="6"/>
      <c r="I20" s="6"/>
      <c r="J20" s="6"/>
      <c r="K20" s="6"/>
      <c r="L20" s="6"/>
      <c r="M20" s="6"/>
      <c r="N20" s="6"/>
      <c r="O20" s="6"/>
      <c r="P20" s="6"/>
      <c r="Q20" s="10">
        <f t="shared" si="6"/>
        <v>0</v>
      </c>
      <c r="S20" s="6"/>
      <c r="T20" s="6"/>
      <c r="U20" s="6"/>
      <c r="V20" s="6"/>
      <c r="W20" s="6"/>
      <c r="X20" s="6"/>
      <c r="Y20" s="6"/>
      <c r="Z20" s="6"/>
      <c r="AA20" s="6"/>
      <c r="AB20" s="6"/>
      <c r="AC20" s="6"/>
      <c r="AD20" s="6"/>
      <c r="AE20" s="10">
        <f t="shared" si="7"/>
        <v>0</v>
      </c>
      <c r="AG20" s="6"/>
      <c r="AH20" s="6"/>
      <c r="AI20" s="6"/>
      <c r="AJ20" s="6"/>
      <c r="AK20" s="6"/>
      <c r="AL20" s="6"/>
      <c r="AM20" s="6"/>
      <c r="AN20" s="6"/>
      <c r="AO20" s="6"/>
      <c r="AP20" s="6"/>
      <c r="AQ20" s="6"/>
      <c r="AR20" s="6"/>
      <c r="AS20" s="10">
        <f t="shared" si="8"/>
        <v>0</v>
      </c>
      <c r="AU20" s="6"/>
      <c r="AV20" s="6"/>
      <c r="AW20" s="6"/>
      <c r="AX20" s="6"/>
      <c r="AY20" s="6"/>
      <c r="AZ20" s="6"/>
      <c r="BA20" s="6"/>
      <c r="BB20" s="6"/>
      <c r="BC20" s="6"/>
      <c r="BD20" s="6"/>
      <c r="BE20" s="6"/>
      <c r="BF20" s="6"/>
      <c r="BG20" s="10">
        <f t="shared" si="9"/>
        <v>0</v>
      </c>
      <c r="BI20" s="6"/>
      <c r="BJ20" s="6"/>
      <c r="BK20" s="6"/>
      <c r="BL20" s="6"/>
      <c r="BM20" s="6"/>
      <c r="BN20" s="6"/>
      <c r="BO20" s="6"/>
      <c r="BP20" s="6"/>
      <c r="BQ20" s="6"/>
      <c r="BR20" s="6"/>
      <c r="BS20" s="6"/>
      <c r="BT20" s="6"/>
      <c r="BU20" s="10">
        <f t="shared" si="10"/>
        <v>0</v>
      </c>
      <c r="BW20" s="6"/>
      <c r="BX20" s="6"/>
      <c r="BY20" s="6"/>
      <c r="BZ20" s="6"/>
      <c r="CA20" s="6"/>
      <c r="CB20" s="6"/>
      <c r="CC20" s="6"/>
      <c r="CD20" s="6"/>
      <c r="CE20" s="6"/>
      <c r="CF20" s="6"/>
      <c r="CG20" s="6"/>
      <c r="CH20" s="6"/>
      <c r="CI20" s="10">
        <f t="shared" si="11"/>
        <v>0</v>
      </c>
    </row>
    <row r="21" spans="3:87" x14ac:dyDescent="0.25">
      <c r="C21" s="3" t="s">
        <v>6</v>
      </c>
      <c r="E21" s="9" cm="1">
        <f t="array" aca="1" ref="E21" ca="1">SUM(INDIRECT(ADDRESS(income_min_row,COLUMN()) &amp; ":" &amp; ADDRESS(income_max_row,COLUMN())))</f>
        <v>0</v>
      </c>
      <c r="F21" s="9" cm="1">
        <f t="array" aca="1" ref="F21" ca="1">SUM(INDIRECT(ADDRESS(income_min_row,COLUMN()) &amp; ":" &amp; ADDRESS(income_max_row,COLUMN())))</f>
        <v>0</v>
      </c>
      <c r="G21" s="9" cm="1">
        <f t="array" aca="1" ref="G21" ca="1">SUM(INDIRECT(ADDRESS(income_min_row,COLUMN()) &amp; ":" &amp; ADDRESS(income_max_row,COLUMN())))</f>
        <v>0</v>
      </c>
      <c r="H21" s="9" cm="1">
        <f t="array" aca="1" ref="H21" ca="1">SUM(INDIRECT(ADDRESS(income_min_row,COLUMN()) &amp; ":" &amp; ADDRESS(income_max_row,COLUMN())))</f>
        <v>0</v>
      </c>
      <c r="I21" s="9" cm="1">
        <f t="array" aca="1" ref="I21" ca="1">SUM(INDIRECT(ADDRESS(income_min_row,COLUMN()) &amp; ":" &amp; ADDRESS(income_max_row,COLUMN())))</f>
        <v>0</v>
      </c>
      <c r="J21" s="9" cm="1">
        <f t="array" aca="1" ref="J21" ca="1">SUM(INDIRECT(ADDRESS(income_min_row,COLUMN()) &amp; ":" &amp; ADDRESS(income_max_row,COLUMN())))</f>
        <v>0</v>
      </c>
      <c r="K21" s="9" cm="1">
        <f t="array" aca="1" ref="K21" ca="1">SUM(INDIRECT(ADDRESS(income_min_row,COLUMN()) &amp; ":" &amp; ADDRESS(income_max_row,COLUMN())))</f>
        <v>0</v>
      </c>
      <c r="L21" s="9" cm="1">
        <f t="array" aca="1" ref="L21" ca="1">SUM(INDIRECT(ADDRESS(income_min_row,COLUMN()) &amp; ":" &amp; ADDRESS(income_max_row,COLUMN())))</f>
        <v>0</v>
      </c>
      <c r="M21" s="9" cm="1">
        <f t="array" aca="1" ref="M21" ca="1">SUM(INDIRECT(ADDRESS(income_min_row,COLUMN()) &amp; ":" &amp; ADDRESS(income_max_row,COLUMN())))</f>
        <v>4234</v>
      </c>
      <c r="N21" s="9" cm="1">
        <f t="array" aca="1" ref="N21" ca="1">SUM(INDIRECT(ADDRESS(income_min_row,COLUMN()) &amp; ":" &amp; ADDRESS(income_max_row,COLUMN())))</f>
        <v>4234</v>
      </c>
      <c r="O21" s="9" cm="1">
        <f t="array" aca="1" ref="O21" ca="1">SUM(INDIRECT(ADDRESS(income_min_row,COLUMN()) &amp; ":" &amp; ADDRESS(income_max_row,COLUMN())))</f>
        <v>4234</v>
      </c>
      <c r="P21" s="9" cm="1">
        <f t="array" aca="1" ref="P21" ca="1">SUM(INDIRECT(ADDRESS(income_min_row,COLUMN()) &amp; ":" &amp; ADDRESS(income_max_row,COLUMN())))</f>
        <v>4234</v>
      </c>
      <c r="Q21" s="9" cm="1">
        <f t="array" aca="1" ref="Q21" ca="1">SUM(INDIRECT(ADDRESS(income_min_row,COLUMN()) &amp; ":" &amp; ADDRESS(income_max_row,COLUMN())))</f>
        <v>16936</v>
      </c>
      <c r="S21" s="9" cm="1">
        <f t="array" aca="1" ref="S21" ca="1">SUM(INDIRECT(ADDRESS(income_min_row,COLUMN()) &amp; ":" &amp; ADDRESS(income_max_row,COLUMN())))</f>
        <v>5083.34</v>
      </c>
      <c r="T21" s="9" cm="1">
        <f t="array" aca="1" ref="T21" ca="1">SUM(INDIRECT(ADDRESS(income_min_row,COLUMN()) &amp; ":" &amp; ADDRESS(income_max_row,COLUMN())))</f>
        <v>5083.34</v>
      </c>
      <c r="U21" s="9" cm="1">
        <f t="array" aca="1" ref="U21" ca="1">SUM(INDIRECT(ADDRESS(income_min_row,COLUMN()) &amp; ":" &amp; ADDRESS(income_max_row,COLUMN())))</f>
        <v>5210.41</v>
      </c>
      <c r="V21" s="9" cm="1">
        <f t="array" aca="1" ref="V21" ca="1">SUM(INDIRECT(ADDRESS(income_min_row,COLUMN()) &amp; ":" &amp; ADDRESS(income_max_row,COLUMN())))</f>
        <v>6990.41</v>
      </c>
      <c r="W21" s="9" cm="1">
        <f t="array" aca="1" ref="W21" ca="1">SUM(INDIRECT(ADDRESS(income_min_row,COLUMN()) &amp; ":" &amp; ADDRESS(income_max_row,COLUMN())))</f>
        <v>5210.41</v>
      </c>
      <c r="X21" s="9" cm="1">
        <f t="array" aca="1" ref="X21" ca="1">SUM(INDIRECT(ADDRESS(income_min_row,COLUMN()) &amp; ":" &amp; ADDRESS(income_max_row,COLUMN())))</f>
        <v>5210.41</v>
      </c>
      <c r="Y21" s="9" cm="1">
        <f t="array" aca="1" ref="Y21" ca="1">SUM(INDIRECT(ADDRESS(income_min_row,COLUMN()) &amp; ":" &amp; ADDRESS(income_max_row,COLUMN())))</f>
        <v>5210.41</v>
      </c>
      <c r="Z21" s="9" cm="1">
        <f t="array" aca="1" ref="Z21" ca="1">SUM(INDIRECT(ADDRESS(income_min_row,COLUMN()) &amp; ":" &amp; ADDRESS(income_max_row,COLUMN())))</f>
        <v>5210.41</v>
      </c>
      <c r="AA21" s="9" cm="1">
        <f t="array" aca="1" ref="AA21" ca="1">SUM(INDIRECT(ADDRESS(income_min_row,COLUMN()) &amp; ":" &amp; ADDRESS(income_max_row,COLUMN())))</f>
        <v>5210.41</v>
      </c>
      <c r="AB21" s="9" cm="1">
        <f t="array" aca="1" ref="AB21" ca="1">SUM(INDIRECT(ADDRESS(income_min_row,COLUMN()) &amp; ":" &amp; ADDRESS(income_max_row,COLUMN())))</f>
        <v>5210.41</v>
      </c>
      <c r="AC21" s="9" cm="1">
        <f t="array" aca="1" ref="AC21" ca="1">SUM(INDIRECT(ADDRESS(income_min_row,COLUMN()) &amp; ":" &amp; ADDRESS(income_max_row,COLUMN())))</f>
        <v>5210.41</v>
      </c>
      <c r="AD21" s="9" cm="1">
        <f t="array" aca="1" ref="AD21" ca="1">SUM(INDIRECT(ADDRESS(income_min_row,COLUMN()) &amp; ":" &amp; ADDRESS(income_max_row,COLUMN())))</f>
        <v>5210.41</v>
      </c>
      <c r="AE21" s="9" cm="1">
        <f t="array" aca="1" ref="AE21" ca="1">SUM(INDIRECT(ADDRESS(income_min_row,COLUMN()) &amp; ":" &amp; ADDRESS(income_max_row,COLUMN())))</f>
        <v>64050.780000000013</v>
      </c>
      <c r="AG21" s="9" cm="1">
        <f t="array" aca="1" ref="AG21" ca="1">SUM(INDIRECT(ADDRESS(income_min_row,COLUMN()) &amp; ":" &amp; ADDRESS(income_max_row,COLUMN())))</f>
        <v>5083.34</v>
      </c>
      <c r="AH21" s="9" cm="1">
        <f t="array" aca="1" ref="AH21" ca="1">SUM(INDIRECT(ADDRESS(income_min_row,COLUMN()) &amp; ":" &amp; ADDRESS(income_max_row,COLUMN())))</f>
        <v>5083.34</v>
      </c>
      <c r="AI21" s="9" cm="1">
        <f t="array" aca="1" ref="AI21" ca="1">SUM(INDIRECT(ADDRESS(income_min_row,COLUMN()) &amp; ":" &amp; ADDRESS(income_max_row,COLUMN())))</f>
        <v>5083.34</v>
      </c>
      <c r="AJ21" s="9" cm="1">
        <f t="array" aca="1" ref="AJ21" ca="1">SUM(INDIRECT(ADDRESS(income_min_row,COLUMN()) &amp; ":" &amp; ADDRESS(income_max_row,COLUMN())))</f>
        <v>5083.34</v>
      </c>
      <c r="AK21" s="9" cm="1">
        <f t="array" aca="1" ref="AK21" ca="1">SUM(INDIRECT(ADDRESS(income_min_row,COLUMN()) &amp; ":" &amp; ADDRESS(income_max_row,COLUMN())))</f>
        <v>5083.34</v>
      </c>
      <c r="AL21" s="9" cm="1">
        <f t="array" aca="1" ref="AL21" ca="1">SUM(INDIRECT(ADDRESS(income_min_row,COLUMN()) &amp; ":" &amp; ADDRESS(income_max_row,COLUMN())))</f>
        <v>5083.34</v>
      </c>
      <c r="AM21" s="9" cm="1">
        <f t="array" aca="1" ref="AM21" ca="1">SUM(INDIRECT(ADDRESS(income_min_row,COLUMN()) &amp; ":" &amp; ADDRESS(income_max_row,COLUMN())))</f>
        <v>5083.34</v>
      </c>
      <c r="AN21" s="9" cm="1">
        <f t="array" aca="1" ref="AN21" ca="1">SUM(INDIRECT(ADDRESS(income_min_row,COLUMN()) &amp; ":" &amp; ADDRESS(income_max_row,COLUMN())))</f>
        <v>5083.34</v>
      </c>
      <c r="AO21" s="9" cm="1">
        <f t="array" aca="1" ref="AO21" ca="1">SUM(INDIRECT(ADDRESS(income_min_row,COLUMN()) &amp; ":" &amp; ADDRESS(income_max_row,COLUMN())))</f>
        <v>5083.34</v>
      </c>
      <c r="AP21" s="9" cm="1">
        <f t="array" aca="1" ref="AP21" ca="1">SUM(INDIRECT(ADDRESS(income_min_row,COLUMN()) &amp; ":" &amp; ADDRESS(income_max_row,COLUMN())))</f>
        <v>5083.34</v>
      </c>
      <c r="AQ21" s="9" cm="1">
        <f t="array" aca="1" ref="AQ21" ca="1">SUM(INDIRECT(ADDRESS(income_min_row,COLUMN()) &amp; ":" &amp; ADDRESS(income_max_row,COLUMN())))</f>
        <v>5083.34</v>
      </c>
      <c r="AR21" s="9" cm="1">
        <f t="array" aca="1" ref="AR21" ca="1">SUM(INDIRECT(ADDRESS(income_min_row,COLUMN()) &amp; ":" &amp; ADDRESS(income_max_row,COLUMN())))</f>
        <v>5083.34</v>
      </c>
      <c r="AS21" s="9" cm="1">
        <f t="array" aca="1" ref="AS21" ca="1">SUM(INDIRECT(ADDRESS(income_min_row,COLUMN()) &amp; ":" &amp; ADDRESS(income_max_row,COLUMN())))</f>
        <v>61000.079999999987</v>
      </c>
      <c r="AU21" s="9" cm="1">
        <f t="array" aca="1" ref="AU21" ca="1">SUM(INDIRECT(ADDRESS(income_min_row,COLUMN()) &amp; ":" &amp; ADDRESS(income_max_row,COLUMN())))</f>
        <v>0</v>
      </c>
      <c r="AV21" s="9" cm="1">
        <f t="array" aca="1" ref="AV21" ca="1">SUM(INDIRECT(ADDRESS(income_min_row,COLUMN()) &amp; ":" &amp; ADDRESS(income_max_row,COLUMN())))</f>
        <v>0</v>
      </c>
      <c r="AW21" s="9" cm="1">
        <f t="array" aca="1" ref="AW21" ca="1">SUM(INDIRECT(ADDRESS(income_min_row,COLUMN()) &amp; ":" &amp; ADDRESS(income_max_row,COLUMN())))</f>
        <v>0</v>
      </c>
      <c r="AX21" s="9" cm="1">
        <f t="array" aca="1" ref="AX21" ca="1">SUM(INDIRECT(ADDRESS(income_min_row,COLUMN()) &amp; ":" &amp; ADDRESS(income_max_row,COLUMN())))</f>
        <v>0</v>
      </c>
      <c r="AY21" s="9" cm="1">
        <f t="array" aca="1" ref="AY21" ca="1">SUM(INDIRECT(ADDRESS(income_min_row,COLUMN()) &amp; ":" &amp; ADDRESS(income_max_row,COLUMN())))</f>
        <v>0</v>
      </c>
      <c r="AZ21" s="9" cm="1">
        <f t="array" aca="1" ref="AZ21" ca="1">SUM(INDIRECT(ADDRESS(income_min_row,COLUMN()) &amp; ":" &amp; ADDRESS(income_max_row,COLUMN())))</f>
        <v>0</v>
      </c>
      <c r="BA21" s="9" cm="1">
        <f t="array" aca="1" ref="BA21" ca="1">SUM(INDIRECT(ADDRESS(income_min_row,COLUMN()) &amp; ":" &amp; ADDRESS(income_max_row,COLUMN())))</f>
        <v>0</v>
      </c>
      <c r="BB21" s="9" cm="1">
        <f t="array" aca="1" ref="BB21" ca="1">SUM(INDIRECT(ADDRESS(income_min_row,COLUMN()) &amp; ":" &amp; ADDRESS(income_max_row,COLUMN())))</f>
        <v>0</v>
      </c>
      <c r="BC21" s="9" cm="1">
        <f t="array" aca="1" ref="BC21" ca="1">SUM(INDIRECT(ADDRESS(income_min_row,COLUMN()) &amp; ":" &amp; ADDRESS(income_max_row,COLUMN())))</f>
        <v>0</v>
      </c>
      <c r="BD21" s="9" cm="1">
        <f t="array" aca="1" ref="BD21" ca="1">SUM(INDIRECT(ADDRESS(income_min_row,COLUMN()) &amp; ":" &amp; ADDRESS(income_max_row,COLUMN())))</f>
        <v>0</v>
      </c>
      <c r="BE21" s="9" cm="1">
        <f t="array" aca="1" ref="BE21" ca="1">SUM(INDIRECT(ADDRESS(income_min_row,COLUMN()) &amp; ":" &amp; ADDRESS(income_max_row,COLUMN())))</f>
        <v>0</v>
      </c>
      <c r="BF21" s="9" cm="1">
        <f t="array" aca="1" ref="BF21" ca="1">SUM(INDIRECT(ADDRESS(income_min_row,COLUMN()) &amp; ":" &amp; ADDRESS(income_max_row,COLUMN())))</f>
        <v>0</v>
      </c>
      <c r="BG21" s="9" cm="1">
        <f t="array" aca="1" ref="BG21" ca="1">SUM(INDIRECT(ADDRESS(income_min_row,COLUMN()) &amp; ":" &amp; ADDRESS(income_max_row,COLUMN())))</f>
        <v>0</v>
      </c>
      <c r="BI21" s="9" cm="1">
        <f t="array" aca="1" ref="BI21" ca="1">SUM(INDIRECT(ADDRESS(income_min_row,COLUMN()) &amp; ":" &amp; ADDRESS(income_max_row,COLUMN())))</f>
        <v>0</v>
      </c>
      <c r="BJ21" s="9" cm="1">
        <f t="array" aca="1" ref="BJ21" ca="1">SUM(INDIRECT(ADDRESS(income_min_row,COLUMN()) &amp; ":" &amp; ADDRESS(income_max_row,COLUMN())))</f>
        <v>0</v>
      </c>
      <c r="BK21" s="9" cm="1">
        <f t="array" aca="1" ref="BK21" ca="1">SUM(INDIRECT(ADDRESS(income_min_row,COLUMN()) &amp; ":" &amp; ADDRESS(income_max_row,COLUMN())))</f>
        <v>0</v>
      </c>
      <c r="BL21" s="9" cm="1">
        <f t="array" aca="1" ref="BL21" ca="1">SUM(INDIRECT(ADDRESS(income_min_row,COLUMN()) &amp; ":" &amp; ADDRESS(income_max_row,COLUMN())))</f>
        <v>0</v>
      </c>
      <c r="BM21" s="9" cm="1">
        <f t="array" aca="1" ref="BM21" ca="1">SUM(INDIRECT(ADDRESS(income_min_row,COLUMN()) &amp; ":" &amp; ADDRESS(income_max_row,COLUMN())))</f>
        <v>0</v>
      </c>
      <c r="BN21" s="9" cm="1">
        <f t="array" aca="1" ref="BN21" ca="1">SUM(INDIRECT(ADDRESS(income_min_row,COLUMN()) &amp; ":" &amp; ADDRESS(income_max_row,COLUMN())))</f>
        <v>0</v>
      </c>
      <c r="BO21" s="9" cm="1">
        <f t="array" aca="1" ref="BO21" ca="1">SUM(INDIRECT(ADDRESS(income_min_row,COLUMN()) &amp; ":" &amp; ADDRESS(income_max_row,COLUMN())))</f>
        <v>0</v>
      </c>
      <c r="BP21" s="9" cm="1">
        <f t="array" aca="1" ref="BP21" ca="1">SUM(INDIRECT(ADDRESS(income_min_row,COLUMN()) &amp; ":" &amp; ADDRESS(income_max_row,COLUMN())))</f>
        <v>0</v>
      </c>
      <c r="BQ21" s="9" cm="1">
        <f t="array" aca="1" ref="BQ21" ca="1">SUM(INDIRECT(ADDRESS(income_min_row,COLUMN()) &amp; ":" &amp; ADDRESS(income_max_row,COLUMN())))</f>
        <v>0</v>
      </c>
      <c r="BR21" s="9" cm="1">
        <f t="array" aca="1" ref="BR21" ca="1">SUM(INDIRECT(ADDRESS(income_min_row,COLUMN()) &amp; ":" &amp; ADDRESS(income_max_row,COLUMN())))</f>
        <v>0</v>
      </c>
      <c r="BS21" s="9" cm="1">
        <f t="array" aca="1" ref="BS21" ca="1">SUM(INDIRECT(ADDRESS(income_min_row,COLUMN()) &amp; ":" &amp; ADDRESS(income_max_row,COLUMN())))</f>
        <v>0</v>
      </c>
      <c r="BT21" s="9" cm="1">
        <f t="array" aca="1" ref="BT21" ca="1">SUM(INDIRECT(ADDRESS(income_min_row,COLUMN()) &amp; ":" &amp; ADDRESS(income_max_row,COLUMN())))</f>
        <v>0</v>
      </c>
      <c r="BU21" s="9" cm="1">
        <f t="array" aca="1" ref="BU21" ca="1">SUM(INDIRECT(ADDRESS(income_min_row,COLUMN()) &amp; ":" &amp; ADDRESS(income_max_row,COLUMN())))</f>
        <v>0</v>
      </c>
      <c r="BW21" s="9" cm="1">
        <f t="array" aca="1" ref="BW21" ca="1">SUM(INDIRECT(ADDRESS(income_min_row,COLUMN()) &amp; ":" &amp; ADDRESS(income_max_row,COLUMN())))</f>
        <v>0</v>
      </c>
      <c r="BX21" s="9" cm="1">
        <f t="array" aca="1" ref="BX21" ca="1">SUM(INDIRECT(ADDRESS(income_min_row,COLUMN()) &amp; ":" &amp; ADDRESS(income_max_row,COLUMN())))</f>
        <v>0</v>
      </c>
      <c r="BY21" s="9" cm="1">
        <f t="array" aca="1" ref="BY21" ca="1">SUM(INDIRECT(ADDRESS(income_min_row,COLUMN()) &amp; ":" &amp; ADDRESS(income_max_row,COLUMN())))</f>
        <v>0</v>
      </c>
      <c r="BZ21" s="9" cm="1">
        <f t="array" aca="1" ref="BZ21" ca="1">SUM(INDIRECT(ADDRESS(income_min_row,COLUMN()) &amp; ":" &amp; ADDRESS(income_max_row,COLUMN())))</f>
        <v>0</v>
      </c>
      <c r="CA21" s="9" cm="1">
        <f t="array" aca="1" ref="CA21" ca="1">SUM(INDIRECT(ADDRESS(income_min_row,COLUMN()) &amp; ":" &amp; ADDRESS(income_max_row,COLUMN())))</f>
        <v>0</v>
      </c>
      <c r="CB21" s="9" cm="1">
        <f t="array" aca="1" ref="CB21" ca="1">SUM(INDIRECT(ADDRESS(income_min_row,COLUMN()) &amp; ":" &amp; ADDRESS(income_max_row,COLUMN())))</f>
        <v>0</v>
      </c>
      <c r="CC21" s="9" cm="1">
        <f t="array" aca="1" ref="CC21" ca="1">SUM(INDIRECT(ADDRESS(income_min_row,COLUMN()) &amp; ":" &amp; ADDRESS(income_max_row,COLUMN())))</f>
        <v>0</v>
      </c>
      <c r="CD21" s="9" cm="1">
        <f t="array" aca="1" ref="CD21" ca="1">SUM(INDIRECT(ADDRESS(income_min_row,COLUMN()) &amp; ":" &amp; ADDRESS(income_max_row,COLUMN())))</f>
        <v>0</v>
      </c>
      <c r="CE21" s="9" cm="1">
        <f t="array" aca="1" ref="CE21" ca="1">SUM(INDIRECT(ADDRESS(income_min_row,COLUMN()) &amp; ":" &amp; ADDRESS(income_max_row,COLUMN())))</f>
        <v>0</v>
      </c>
      <c r="CF21" s="9" cm="1">
        <f t="array" aca="1" ref="CF21" ca="1">SUM(INDIRECT(ADDRESS(income_min_row,COLUMN()) &amp; ":" &amp; ADDRESS(income_max_row,COLUMN())))</f>
        <v>0</v>
      </c>
      <c r="CG21" s="9" cm="1">
        <f t="array" aca="1" ref="CG21" ca="1">SUM(INDIRECT(ADDRESS(income_min_row,COLUMN()) &amp; ":" &amp; ADDRESS(income_max_row,COLUMN())))</f>
        <v>0</v>
      </c>
      <c r="CH21" s="9" cm="1">
        <f t="array" aca="1" ref="CH21" ca="1">SUM(INDIRECT(ADDRESS(income_min_row,COLUMN()) &amp; ":" &amp; ADDRESS(income_max_row,COLUMN())))</f>
        <v>0</v>
      </c>
      <c r="CI21" s="9" cm="1">
        <f t="array" aca="1" ref="CI21" ca="1">SUM(INDIRECT(ADDRESS(income_min_row,COLUMN()) &amp; ":" &amp; ADDRESS(income_max_row,COLUMN())))</f>
        <v>0</v>
      </c>
    </row>
    <row r="23" spans="3:87" x14ac:dyDescent="0.25">
      <c r="C23" s="11" t="s">
        <v>7</v>
      </c>
      <c r="E23" s="12">
        <f>DATE(E$5,1,1)</f>
        <v>45658</v>
      </c>
      <c r="F23" s="12">
        <f>DATE(E$5,2,1)</f>
        <v>45689</v>
      </c>
      <c r="G23" s="12">
        <f>DATE(E$5,3,1)</f>
        <v>45717</v>
      </c>
      <c r="H23" s="12">
        <f>DATE(E$5,4,1)</f>
        <v>45748</v>
      </c>
      <c r="I23" s="12">
        <f>DATE(E$5,5,1)</f>
        <v>45778</v>
      </c>
      <c r="J23" s="12">
        <f>DATE(E$5,6,1)</f>
        <v>45809</v>
      </c>
      <c r="K23" s="12">
        <f>DATE(E$5,7,1)</f>
        <v>45839</v>
      </c>
      <c r="L23" s="12">
        <f>DATE(E$5,8,1)</f>
        <v>45870</v>
      </c>
      <c r="M23" s="12">
        <f>DATE(E$5,9,1)</f>
        <v>45901</v>
      </c>
      <c r="N23" s="12">
        <f>DATE(E$5,10,1)</f>
        <v>45931</v>
      </c>
      <c r="O23" s="12">
        <f>DATE(E$5,11,1)</f>
        <v>45962</v>
      </c>
      <c r="P23" s="12">
        <f>DATE(E$5,12,1)</f>
        <v>45992</v>
      </c>
      <c r="Q23" s="13">
        <f>E$5</f>
        <v>2025</v>
      </c>
      <c r="S23" s="12">
        <f>DATE(S$5,1,1)</f>
        <v>46023</v>
      </c>
      <c r="T23" s="12">
        <f>DATE(S$5,2,1)</f>
        <v>46054</v>
      </c>
      <c r="U23" s="12">
        <f>DATE(S$5,3,1)</f>
        <v>46082</v>
      </c>
      <c r="V23" s="12">
        <f>DATE(S$5,4,1)</f>
        <v>46113</v>
      </c>
      <c r="W23" s="12">
        <f>DATE(S$5,5,1)</f>
        <v>46143</v>
      </c>
      <c r="X23" s="12">
        <f>DATE(S$5,6,1)</f>
        <v>46174</v>
      </c>
      <c r="Y23" s="12">
        <f>DATE(S$5,7,1)</f>
        <v>46204</v>
      </c>
      <c r="Z23" s="12">
        <f>DATE(S$5,8,1)</f>
        <v>46235</v>
      </c>
      <c r="AA23" s="12">
        <f>DATE(S$5,9,1)</f>
        <v>46266</v>
      </c>
      <c r="AB23" s="12">
        <f>DATE(S$5,10,1)</f>
        <v>46296</v>
      </c>
      <c r="AC23" s="12">
        <f>DATE(S$5,11,1)</f>
        <v>46327</v>
      </c>
      <c r="AD23" s="12">
        <f>DATE(S$5,12,1)</f>
        <v>46357</v>
      </c>
      <c r="AE23" s="13">
        <f>S$5</f>
        <v>2026</v>
      </c>
      <c r="AG23" s="12">
        <f>DATE(AG$5,1,1)</f>
        <v>46388</v>
      </c>
      <c r="AH23" s="12">
        <f>DATE(AG$5,2,1)</f>
        <v>46419</v>
      </c>
      <c r="AI23" s="12">
        <f>DATE(AG$5,3,1)</f>
        <v>46447</v>
      </c>
      <c r="AJ23" s="12">
        <f>DATE(AG$5,4,1)</f>
        <v>46478</v>
      </c>
      <c r="AK23" s="12">
        <f>DATE(AG$5,5,1)</f>
        <v>46508</v>
      </c>
      <c r="AL23" s="12">
        <f>DATE(AG$5,6,1)</f>
        <v>46539</v>
      </c>
      <c r="AM23" s="12">
        <f>DATE(AG$5,7,1)</f>
        <v>46569</v>
      </c>
      <c r="AN23" s="12">
        <f>DATE(AG$5,8,1)</f>
        <v>46600</v>
      </c>
      <c r="AO23" s="12">
        <f>DATE(AG$5,9,1)</f>
        <v>46631</v>
      </c>
      <c r="AP23" s="12">
        <f>DATE(AG$5,10,1)</f>
        <v>46661</v>
      </c>
      <c r="AQ23" s="12">
        <f>DATE(AG$5,11,1)</f>
        <v>46692</v>
      </c>
      <c r="AR23" s="12">
        <f>DATE(AG$5,12,1)</f>
        <v>46722</v>
      </c>
      <c r="AS23" s="13">
        <f>AG$5</f>
        <v>2027</v>
      </c>
      <c r="AU23" s="12">
        <f>DATE(AU$5,1,1)</f>
        <v>46753</v>
      </c>
      <c r="AV23" s="12">
        <f>DATE(AU$5,2,1)</f>
        <v>46784</v>
      </c>
      <c r="AW23" s="12">
        <f>DATE(AU$5,3,1)</f>
        <v>46813</v>
      </c>
      <c r="AX23" s="12">
        <f>DATE(AU$5,4,1)</f>
        <v>46844</v>
      </c>
      <c r="AY23" s="12">
        <f>DATE(AU$5,5,1)</f>
        <v>46874</v>
      </c>
      <c r="AZ23" s="12">
        <f>DATE(AU$5,6,1)</f>
        <v>46905</v>
      </c>
      <c r="BA23" s="12">
        <f>DATE(AU$5,7,1)</f>
        <v>46935</v>
      </c>
      <c r="BB23" s="12">
        <f>DATE(AU$5,8,1)</f>
        <v>46966</v>
      </c>
      <c r="BC23" s="12">
        <f>DATE(AU$5,9,1)</f>
        <v>46997</v>
      </c>
      <c r="BD23" s="12">
        <f>DATE(AU$5,10,1)</f>
        <v>47027</v>
      </c>
      <c r="BE23" s="12">
        <f>DATE(AU$5,11,1)</f>
        <v>47058</v>
      </c>
      <c r="BF23" s="12">
        <f>DATE(AU$5,12,1)</f>
        <v>47088</v>
      </c>
      <c r="BG23" s="13">
        <f>AU$5</f>
        <v>2028</v>
      </c>
      <c r="BI23" s="12">
        <f>DATE(BI$5,1,1)</f>
        <v>47119</v>
      </c>
      <c r="BJ23" s="12">
        <f>DATE(BI$5,2,1)</f>
        <v>47150</v>
      </c>
      <c r="BK23" s="12">
        <f>DATE(BI$5,3,1)</f>
        <v>47178</v>
      </c>
      <c r="BL23" s="12">
        <f>DATE(BI$5,4,1)</f>
        <v>47209</v>
      </c>
      <c r="BM23" s="12">
        <f>DATE(BI$5,5,1)</f>
        <v>47239</v>
      </c>
      <c r="BN23" s="12">
        <f>DATE(BI$5,6,1)</f>
        <v>47270</v>
      </c>
      <c r="BO23" s="12">
        <f>DATE(BI$5,7,1)</f>
        <v>47300</v>
      </c>
      <c r="BP23" s="12">
        <f>DATE(BI$5,8,1)</f>
        <v>47331</v>
      </c>
      <c r="BQ23" s="12">
        <f>DATE(BI$5,9,1)</f>
        <v>47362</v>
      </c>
      <c r="BR23" s="12">
        <f>DATE(BI$5,10,1)</f>
        <v>47392</v>
      </c>
      <c r="BS23" s="12">
        <f>DATE(BI$5,11,1)</f>
        <v>47423</v>
      </c>
      <c r="BT23" s="12">
        <f>DATE(BI$5,12,1)</f>
        <v>47453</v>
      </c>
      <c r="BU23" s="13">
        <f>BI$5</f>
        <v>2029</v>
      </c>
      <c r="BW23" s="12">
        <f>DATE(BW$5,1,1)</f>
        <v>47484</v>
      </c>
      <c r="BX23" s="12">
        <f>DATE(BW$5,2,1)</f>
        <v>47515</v>
      </c>
      <c r="BY23" s="12">
        <f>DATE(BW$5,3,1)</f>
        <v>47543</v>
      </c>
      <c r="BZ23" s="12">
        <f>DATE(BW$5,4,1)</f>
        <v>47574</v>
      </c>
      <c r="CA23" s="12">
        <f>DATE(BW$5,5,1)</f>
        <v>47604</v>
      </c>
      <c r="CB23" s="12">
        <f>DATE(BW$5,6,1)</f>
        <v>47635</v>
      </c>
      <c r="CC23" s="12">
        <f>DATE(BW$5,7,1)</f>
        <v>47665</v>
      </c>
      <c r="CD23" s="12">
        <f>DATE(BW$5,8,1)</f>
        <v>47696</v>
      </c>
      <c r="CE23" s="12">
        <f>DATE(BW$5,9,1)</f>
        <v>47727</v>
      </c>
      <c r="CF23" s="12">
        <f>DATE(BW$5,10,1)</f>
        <v>47757</v>
      </c>
      <c r="CG23" s="12">
        <f>DATE(BW$5,11,1)</f>
        <v>47788</v>
      </c>
      <c r="CH23" s="12">
        <f>DATE(BW$5,12,1)</f>
        <v>47818</v>
      </c>
      <c r="CI23" s="13">
        <f>BW$5</f>
        <v>2030</v>
      </c>
    </row>
    <row r="24" spans="3:87" x14ac:dyDescent="0.25">
      <c r="C24" s="4" t="s">
        <v>8</v>
      </c>
      <c r="E24" s="6"/>
      <c r="F24" s="6"/>
      <c r="G24" s="6"/>
      <c r="H24" s="6"/>
      <c r="I24" s="6"/>
      <c r="J24" s="6"/>
      <c r="K24" s="6"/>
      <c r="L24" s="6"/>
      <c r="M24" s="6">
        <v>1280</v>
      </c>
      <c r="N24" s="6">
        <v>1280</v>
      </c>
      <c r="O24" s="6">
        <v>1280</v>
      </c>
      <c r="P24" s="6">
        <v>1280</v>
      </c>
      <c r="Q24" s="10">
        <f>SUM(E24:P24)</f>
        <v>5120</v>
      </c>
      <c r="S24" s="6">
        <v>1280</v>
      </c>
      <c r="T24" s="6">
        <v>1280</v>
      </c>
      <c r="U24" s="6">
        <v>1280</v>
      </c>
      <c r="V24" s="6">
        <v>1280</v>
      </c>
      <c r="W24" s="6">
        <v>1280</v>
      </c>
      <c r="X24" s="6">
        <v>1280</v>
      </c>
      <c r="Y24" s="6">
        <v>1280</v>
      </c>
      <c r="Z24" s="6">
        <v>1280</v>
      </c>
      <c r="AA24" s="6">
        <v>1280</v>
      </c>
      <c r="AB24" s="6">
        <v>1280</v>
      </c>
      <c r="AC24" s="6">
        <v>1280</v>
      </c>
      <c r="AD24" s="6">
        <v>1280</v>
      </c>
      <c r="AE24" s="10">
        <f t="shared" ref="AE24:AE30" si="12">SUM(S24:AD24)</f>
        <v>15360</v>
      </c>
      <c r="AG24" s="6">
        <v>1280</v>
      </c>
      <c r="AH24" s="6">
        <v>1280</v>
      </c>
      <c r="AI24" s="6">
        <v>1280</v>
      </c>
      <c r="AJ24" s="6">
        <v>1280</v>
      </c>
      <c r="AK24" s="6">
        <v>1280</v>
      </c>
      <c r="AL24" s="6">
        <v>1280</v>
      </c>
      <c r="AM24" s="6">
        <v>1280</v>
      </c>
      <c r="AN24" s="6">
        <v>1280</v>
      </c>
      <c r="AO24" s="6">
        <v>1280</v>
      </c>
      <c r="AP24" s="6">
        <v>1280</v>
      </c>
      <c r="AQ24" s="6">
        <v>1280</v>
      </c>
      <c r="AR24" s="6">
        <v>1280</v>
      </c>
      <c r="AS24" s="10">
        <f>SUM(AG24:AR24)</f>
        <v>15360</v>
      </c>
      <c r="AU24" s="6"/>
      <c r="AV24" s="6"/>
      <c r="AW24" s="6"/>
      <c r="AX24" s="6"/>
      <c r="AY24" s="6"/>
      <c r="AZ24" s="6"/>
      <c r="BA24" s="6"/>
      <c r="BB24" s="6"/>
      <c r="BC24" s="6"/>
      <c r="BD24" s="6"/>
      <c r="BE24" s="6"/>
      <c r="BF24" s="6"/>
      <c r="BG24" s="10">
        <f>SUM(AU24:BF24)</f>
        <v>0</v>
      </c>
      <c r="BI24" s="6"/>
      <c r="BJ24" s="6"/>
      <c r="BK24" s="6"/>
      <c r="BL24" s="6"/>
      <c r="BM24" s="6"/>
      <c r="BN24" s="6"/>
      <c r="BO24" s="6"/>
      <c r="BP24" s="6"/>
      <c r="BQ24" s="6"/>
      <c r="BR24" s="6"/>
      <c r="BS24" s="6"/>
      <c r="BT24" s="6"/>
      <c r="BU24" s="10">
        <f>SUM(BI24:BT24)</f>
        <v>0</v>
      </c>
      <c r="BW24" s="6"/>
      <c r="BX24" s="6"/>
      <c r="BY24" s="6"/>
      <c r="BZ24" s="6"/>
      <c r="CA24" s="6"/>
      <c r="CB24" s="6"/>
      <c r="CC24" s="6"/>
      <c r="CD24" s="6"/>
      <c r="CE24" s="6"/>
      <c r="CF24" s="6"/>
      <c r="CG24" s="6"/>
      <c r="CH24" s="6"/>
      <c r="CI24" s="10">
        <f>SUM(BW24:CH24)</f>
        <v>0</v>
      </c>
    </row>
    <row r="25" spans="3:87" ht="15.75" customHeight="1" x14ac:dyDescent="0.25">
      <c r="C25" s="4" t="s">
        <v>9</v>
      </c>
      <c r="D25" s="5"/>
      <c r="E25" s="6"/>
      <c r="F25" s="6"/>
      <c r="G25" s="6"/>
      <c r="H25" s="6"/>
      <c r="I25" s="6"/>
      <c r="J25" s="6"/>
      <c r="K25" s="6"/>
      <c r="L25" s="6"/>
      <c r="M25" s="6"/>
      <c r="N25" s="6"/>
      <c r="O25" s="6"/>
      <c r="P25" s="6"/>
      <c r="Q25" s="10">
        <f>SUM(E25:P25)</f>
        <v>0</v>
      </c>
      <c r="S25" s="6">
        <v>747.02</v>
      </c>
      <c r="T25" s="6">
        <v>796</v>
      </c>
      <c r="U25" s="6">
        <v>747.02</v>
      </c>
      <c r="V25" s="6">
        <v>747.02</v>
      </c>
      <c r="W25" s="6">
        <v>747.02</v>
      </c>
      <c r="X25" s="6">
        <v>747.02</v>
      </c>
      <c r="Y25" s="6">
        <v>747.02</v>
      </c>
      <c r="Z25" s="6">
        <v>747.02</v>
      </c>
      <c r="AA25" s="6">
        <v>747.02</v>
      </c>
      <c r="AB25" s="6">
        <v>747.02</v>
      </c>
      <c r="AC25" s="6">
        <v>747.02</v>
      </c>
      <c r="AD25" s="6">
        <v>747.02</v>
      </c>
      <c r="AE25" s="10">
        <f t="shared" si="12"/>
        <v>9013.220000000003</v>
      </c>
      <c r="AG25" s="6"/>
      <c r="AH25" s="6"/>
      <c r="AI25" s="6"/>
      <c r="AJ25" s="6"/>
      <c r="AK25" s="6"/>
      <c r="AL25" s="6"/>
      <c r="AM25" s="6"/>
      <c r="AN25" s="6"/>
      <c r="AO25" s="6"/>
      <c r="AP25" s="6"/>
      <c r="AQ25" s="6"/>
      <c r="AR25" s="6"/>
      <c r="AS25" s="10">
        <f>SUM(AG25:AR25)</f>
        <v>0</v>
      </c>
      <c r="AU25" s="6"/>
      <c r="AV25" s="6"/>
      <c r="AW25" s="6"/>
      <c r="AX25" s="6"/>
      <c r="AY25" s="6"/>
      <c r="AZ25" s="6"/>
      <c r="BA25" s="6"/>
      <c r="BB25" s="6"/>
      <c r="BC25" s="6"/>
      <c r="BD25" s="6"/>
      <c r="BE25" s="6"/>
      <c r="BF25" s="6"/>
      <c r="BG25" s="10">
        <f>SUM(AU25:BF25)</f>
        <v>0</v>
      </c>
      <c r="BI25" s="6"/>
      <c r="BJ25" s="6"/>
      <c r="BK25" s="6"/>
      <c r="BL25" s="6"/>
      <c r="BM25" s="6"/>
      <c r="BN25" s="6"/>
      <c r="BO25" s="6"/>
      <c r="BP25" s="6"/>
      <c r="BQ25" s="6"/>
      <c r="BR25" s="6"/>
      <c r="BS25" s="6"/>
      <c r="BT25" s="6"/>
      <c r="BU25" s="10">
        <f>SUM(BI25:BT25)</f>
        <v>0</v>
      </c>
      <c r="BW25" s="6"/>
      <c r="BX25" s="6"/>
      <c r="BY25" s="6"/>
      <c r="BZ25" s="6"/>
      <c r="CA25" s="6"/>
      <c r="CB25" s="6"/>
      <c r="CC25" s="6"/>
      <c r="CD25" s="6"/>
      <c r="CE25" s="6"/>
      <c r="CF25" s="6"/>
      <c r="CG25" s="6"/>
      <c r="CH25" s="6"/>
      <c r="CI25" s="10">
        <f>SUM(BW25:CH25)</f>
        <v>0</v>
      </c>
    </row>
    <row r="26" spans="3:87" x14ac:dyDescent="0.25">
      <c r="C26" s="4" t="s">
        <v>10</v>
      </c>
      <c r="E26" s="6"/>
      <c r="F26" s="6"/>
      <c r="G26" s="6"/>
      <c r="H26" s="6"/>
      <c r="I26" s="6"/>
      <c r="J26" s="6"/>
      <c r="K26" s="6"/>
      <c r="L26" s="6"/>
      <c r="M26" s="6"/>
      <c r="N26" s="6"/>
      <c r="O26" s="6"/>
      <c r="P26" s="6">
        <v>102.38</v>
      </c>
      <c r="Q26" s="10">
        <f>SUM(E26:P26)</f>
        <v>102.38</v>
      </c>
      <c r="S26" s="6">
        <v>204.76</v>
      </c>
      <c r="T26" s="6">
        <v>204.76</v>
      </c>
      <c r="U26" s="6">
        <v>204.76</v>
      </c>
      <c r="V26" s="6">
        <v>204.76</v>
      </c>
      <c r="W26" s="6">
        <v>204.76</v>
      </c>
      <c r="X26" s="6">
        <v>204.76</v>
      </c>
      <c r="Y26" s="6">
        <v>204.76</v>
      </c>
      <c r="Z26" s="6">
        <v>204.76</v>
      </c>
      <c r="AA26" s="6">
        <v>204.76</v>
      </c>
      <c r="AB26" s="6">
        <v>204.76</v>
      </c>
      <c r="AC26" s="6">
        <v>204.76</v>
      </c>
      <c r="AD26" s="6">
        <v>204.76</v>
      </c>
      <c r="AE26" s="10">
        <f t="shared" si="12"/>
        <v>2457.12</v>
      </c>
      <c r="AG26" s="6"/>
      <c r="AH26" s="6"/>
      <c r="AI26" s="6"/>
      <c r="AJ26" s="6"/>
      <c r="AK26" s="6"/>
      <c r="AL26" s="6"/>
      <c r="AM26" s="6"/>
      <c r="AN26" s="6"/>
      <c r="AO26" s="6"/>
      <c r="AP26" s="6"/>
      <c r="AQ26" s="6"/>
      <c r="AR26" s="6"/>
      <c r="AS26" s="10"/>
      <c r="AU26" s="6"/>
      <c r="AV26" s="6"/>
      <c r="AW26" s="6"/>
      <c r="AX26" s="6"/>
      <c r="AY26" s="6"/>
      <c r="AZ26" s="6"/>
      <c r="BA26" s="6"/>
      <c r="BB26" s="6"/>
      <c r="BC26" s="6"/>
      <c r="BD26" s="6"/>
      <c r="BE26" s="6"/>
      <c r="BF26" s="6"/>
      <c r="BG26" s="10"/>
      <c r="BI26" s="6"/>
      <c r="BJ26" s="6"/>
      <c r="BK26" s="6"/>
      <c r="BL26" s="6"/>
      <c r="BM26" s="6"/>
      <c r="BN26" s="6"/>
      <c r="BO26" s="6"/>
      <c r="BP26" s="6"/>
      <c r="BQ26" s="6"/>
      <c r="BR26" s="6"/>
      <c r="BS26" s="6"/>
      <c r="BT26" s="6"/>
      <c r="BU26" s="10"/>
      <c r="BW26" s="6"/>
      <c r="BX26" s="6"/>
      <c r="BY26" s="6"/>
      <c r="BZ26" s="6"/>
      <c r="CA26" s="6"/>
      <c r="CB26" s="6"/>
      <c r="CC26" s="6"/>
      <c r="CD26" s="6"/>
      <c r="CE26" s="6"/>
      <c r="CF26" s="6"/>
      <c r="CG26" s="6"/>
      <c r="CH26" s="6"/>
      <c r="CI26" s="10"/>
    </row>
    <row r="27" spans="3:87" ht="14.25" customHeight="1" x14ac:dyDescent="0.25">
      <c r="C27" s="4" t="s">
        <v>11</v>
      </c>
      <c r="D27" s="5"/>
      <c r="E27" s="6"/>
      <c r="F27" s="6"/>
      <c r="G27" s="6"/>
      <c r="H27" s="6"/>
      <c r="I27" s="6"/>
      <c r="J27" s="6"/>
      <c r="K27" s="6"/>
      <c r="L27" s="6"/>
      <c r="M27" s="6">
        <v>212</v>
      </c>
      <c r="N27" s="6">
        <v>212</v>
      </c>
      <c r="O27" s="6">
        <v>212</v>
      </c>
      <c r="P27" s="6">
        <v>370</v>
      </c>
      <c r="Q27" s="10">
        <f>SUM(E27:P27)</f>
        <v>1006</v>
      </c>
      <c r="S27" s="6">
        <v>400</v>
      </c>
      <c r="T27" s="6">
        <v>250</v>
      </c>
      <c r="U27" s="6">
        <v>250</v>
      </c>
      <c r="V27" s="6">
        <f>1780+250</f>
        <v>2030</v>
      </c>
      <c r="W27" s="6">
        <v>250</v>
      </c>
      <c r="X27" s="6">
        <v>250</v>
      </c>
      <c r="Y27" s="6">
        <v>250</v>
      </c>
      <c r="Z27" s="6">
        <v>250</v>
      </c>
      <c r="AA27" s="6">
        <v>250</v>
      </c>
      <c r="AB27" s="6">
        <v>250</v>
      </c>
      <c r="AC27" s="6">
        <v>250</v>
      </c>
      <c r="AD27" s="6">
        <v>250</v>
      </c>
      <c r="AE27" s="10">
        <f t="shared" si="12"/>
        <v>4930</v>
      </c>
      <c r="AG27" s="6">
        <v>250</v>
      </c>
      <c r="AH27" s="6">
        <v>250</v>
      </c>
      <c r="AI27" s="6">
        <v>250</v>
      </c>
      <c r="AJ27" s="6">
        <v>250</v>
      </c>
      <c r="AK27" s="6">
        <v>250</v>
      </c>
      <c r="AL27" s="6">
        <v>250</v>
      </c>
      <c r="AM27" s="6">
        <v>250</v>
      </c>
      <c r="AN27" s="6">
        <v>250</v>
      </c>
      <c r="AO27" s="6">
        <v>250</v>
      </c>
      <c r="AP27" s="6">
        <v>250</v>
      </c>
      <c r="AQ27" s="6">
        <v>250</v>
      </c>
      <c r="AR27" s="6">
        <v>250</v>
      </c>
      <c r="AS27" s="10">
        <f>SUM(AG27:AR27)</f>
        <v>3000</v>
      </c>
      <c r="AU27" s="6"/>
      <c r="AV27" s="6"/>
      <c r="AW27" s="6"/>
      <c r="AX27" s="6"/>
      <c r="AY27" s="6"/>
      <c r="AZ27" s="6"/>
      <c r="BA27" s="6"/>
      <c r="BB27" s="6"/>
      <c r="BC27" s="6"/>
      <c r="BD27" s="6"/>
      <c r="BE27" s="6"/>
      <c r="BF27" s="6"/>
      <c r="BG27" s="10">
        <f>SUM(AU27:BF27)</f>
        <v>0</v>
      </c>
      <c r="BI27" s="6"/>
      <c r="BJ27" s="6"/>
      <c r="BK27" s="6"/>
      <c r="BL27" s="6"/>
      <c r="BM27" s="6"/>
      <c r="BN27" s="6"/>
      <c r="BO27" s="6"/>
      <c r="BP27" s="6"/>
      <c r="BQ27" s="6"/>
      <c r="BR27" s="6"/>
      <c r="BS27" s="6"/>
      <c r="BT27" s="6"/>
      <c r="BU27" s="10">
        <f>SUM(BI27:BT27)</f>
        <v>0</v>
      </c>
      <c r="BW27" s="6"/>
      <c r="BX27" s="6"/>
      <c r="BY27" s="6"/>
      <c r="BZ27" s="6"/>
      <c r="CA27" s="6"/>
      <c r="CB27" s="6"/>
      <c r="CC27" s="6"/>
      <c r="CD27" s="6"/>
      <c r="CE27" s="6"/>
      <c r="CF27" s="6"/>
      <c r="CG27" s="6"/>
      <c r="CH27" s="6"/>
      <c r="CI27" s="10">
        <f>SUM(BW27:CH27)</f>
        <v>0</v>
      </c>
    </row>
    <row r="28" spans="3:87" ht="14.25" customHeight="1" x14ac:dyDescent="0.25">
      <c r="C28" s="4" t="s">
        <v>12</v>
      </c>
      <c r="D28" s="5"/>
      <c r="E28" s="6"/>
      <c r="F28" s="6"/>
      <c r="G28" s="6"/>
      <c r="H28" s="6"/>
      <c r="I28" s="6"/>
      <c r="J28" s="6"/>
      <c r="K28" s="6"/>
      <c r="L28" s="6"/>
      <c r="M28" s="6">
        <v>117.25</v>
      </c>
      <c r="N28" s="6">
        <v>117.25</v>
      </c>
      <c r="O28" s="6">
        <v>117.25</v>
      </c>
      <c r="P28" s="6">
        <v>117.25</v>
      </c>
      <c r="Q28" s="10">
        <f>SUM(E28:P28)</f>
        <v>469</v>
      </c>
      <c r="S28" s="6">
        <v>161.02000000000001</v>
      </c>
      <c r="T28" s="6">
        <v>404.4</v>
      </c>
      <c r="U28" s="6">
        <v>404.4</v>
      </c>
      <c r="V28" s="6">
        <v>404.4</v>
      </c>
      <c r="W28" s="6">
        <v>404.4</v>
      </c>
      <c r="X28" s="6">
        <v>404.4</v>
      </c>
      <c r="Y28" s="6">
        <v>180</v>
      </c>
      <c r="Z28" s="6">
        <v>180</v>
      </c>
      <c r="AA28" s="6">
        <v>180</v>
      </c>
      <c r="AB28" s="6">
        <v>180</v>
      </c>
      <c r="AC28" s="6">
        <v>180</v>
      </c>
      <c r="AD28" s="6">
        <v>180</v>
      </c>
      <c r="AE28" s="10">
        <f t="shared" si="12"/>
        <v>3263.02</v>
      </c>
      <c r="AG28" s="6"/>
      <c r="AH28" s="6"/>
      <c r="AI28" s="6"/>
      <c r="AJ28" s="6"/>
      <c r="AK28" s="6"/>
      <c r="AL28" s="6"/>
      <c r="AM28" s="6"/>
      <c r="AN28" s="6"/>
      <c r="AO28" s="6"/>
      <c r="AP28" s="6"/>
      <c r="AQ28" s="6"/>
      <c r="AR28" s="6"/>
      <c r="AS28" s="10"/>
      <c r="AU28" s="6"/>
      <c r="AV28" s="6"/>
      <c r="AW28" s="6"/>
      <c r="AX28" s="6"/>
      <c r="AY28" s="6"/>
      <c r="AZ28" s="6"/>
      <c r="BA28" s="6"/>
      <c r="BB28" s="6"/>
      <c r="BC28" s="6"/>
      <c r="BD28" s="6"/>
      <c r="BE28" s="6"/>
      <c r="BF28" s="6"/>
      <c r="BG28" s="10"/>
      <c r="BI28" s="6"/>
      <c r="BJ28" s="6"/>
      <c r="BK28" s="6"/>
      <c r="BL28" s="6"/>
      <c r="BM28" s="6"/>
      <c r="BN28" s="6"/>
      <c r="BO28" s="6"/>
      <c r="BP28" s="6"/>
      <c r="BQ28" s="6"/>
      <c r="BR28" s="6"/>
      <c r="BS28" s="6"/>
      <c r="BT28" s="6"/>
      <c r="BU28" s="10"/>
      <c r="BW28" s="6"/>
      <c r="BX28" s="6"/>
      <c r="BY28" s="6"/>
      <c r="BZ28" s="6"/>
      <c r="CA28" s="6"/>
      <c r="CB28" s="6"/>
      <c r="CC28" s="6"/>
      <c r="CD28" s="6"/>
      <c r="CE28" s="6"/>
      <c r="CF28" s="6"/>
      <c r="CG28" s="6"/>
      <c r="CH28" s="6"/>
      <c r="CI28" s="10"/>
    </row>
    <row r="29" spans="3:87" ht="14.25" customHeight="1" x14ac:dyDescent="0.25">
      <c r="C29" s="4" t="s">
        <v>127</v>
      </c>
      <c r="D29" s="5"/>
      <c r="E29" s="6"/>
      <c r="F29" s="6"/>
      <c r="G29" s="6"/>
      <c r="H29" s="6"/>
      <c r="I29" s="6"/>
      <c r="J29" s="6"/>
      <c r="K29" s="6"/>
      <c r="L29" s="6"/>
      <c r="M29" s="6"/>
      <c r="N29" s="6"/>
      <c r="O29" s="6"/>
      <c r="P29" s="6"/>
      <c r="Q29" s="10"/>
      <c r="S29" s="6"/>
      <c r="T29" s="6">
        <v>151.66999999999999</v>
      </c>
      <c r="U29" s="6">
        <v>151.66999999999999</v>
      </c>
      <c r="V29" s="6">
        <v>151.66999999999999</v>
      </c>
      <c r="W29" s="6">
        <v>151.66999999999999</v>
      </c>
      <c r="X29" s="6">
        <v>151.66999999999999</v>
      </c>
      <c r="Y29" s="6">
        <v>151.66999999999999</v>
      </c>
      <c r="Z29" s="6">
        <v>151.66999999999999</v>
      </c>
      <c r="AA29" s="6">
        <v>151.66999999999999</v>
      </c>
      <c r="AB29" s="6">
        <v>151.66999999999999</v>
      </c>
      <c r="AC29" s="6">
        <v>151.66999999999999</v>
      </c>
      <c r="AD29" s="6">
        <v>151.66999999999999</v>
      </c>
      <c r="AE29" s="10">
        <f t="shared" si="12"/>
        <v>1668.3700000000001</v>
      </c>
      <c r="AG29" s="6"/>
      <c r="AH29" s="6"/>
      <c r="AI29" s="6"/>
      <c r="AJ29" s="6"/>
      <c r="AK29" s="6"/>
      <c r="AL29" s="6"/>
      <c r="AM29" s="6"/>
      <c r="AN29" s="6"/>
      <c r="AO29" s="6"/>
      <c r="AP29" s="6"/>
      <c r="AQ29" s="6"/>
      <c r="AR29" s="6"/>
      <c r="AS29" s="10"/>
      <c r="AU29" s="6"/>
      <c r="AV29" s="6"/>
      <c r="AW29" s="6"/>
      <c r="AX29" s="6"/>
      <c r="AY29" s="6"/>
      <c r="AZ29" s="6"/>
      <c r="BA29" s="6"/>
      <c r="BB29" s="6"/>
      <c r="BC29" s="6"/>
      <c r="BD29" s="6"/>
      <c r="BE29" s="6"/>
      <c r="BF29" s="6"/>
      <c r="BG29" s="10"/>
      <c r="BI29" s="6"/>
      <c r="BJ29" s="6"/>
      <c r="BK29" s="6"/>
      <c r="BL29" s="6"/>
      <c r="BM29" s="6"/>
      <c r="BN29" s="6"/>
      <c r="BO29" s="6"/>
      <c r="BP29" s="6"/>
      <c r="BQ29" s="6"/>
      <c r="BR29" s="6"/>
      <c r="BS29" s="6"/>
      <c r="BT29" s="6"/>
      <c r="BU29" s="10"/>
      <c r="BW29" s="6"/>
      <c r="BX29" s="6"/>
      <c r="BY29" s="6"/>
      <c r="BZ29" s="6"/>
      <c r="CA29" s="6"/>
      <c r="CB29" s="6"/>
      <c r="CC29" s="6"/>
      <c r="CD29" s="6"/>
      <c r="CE29" s="6"/>
      <c r="CF29" s="6"/>
      <c r="CG29" s="6"/>
      <c r="CH29" s="6"/>
      <c r="CI29" s="10"/>
    </row>
    <row r="30" spans="3:87" ht="14.25" customHeight="1" x14ac:dyDescent="0.25">
      <c r="C30" s="4" t="s">
        <v>179</v>
      </c>
      <c r="D30" s="5"/>
      <c r="E30" s="6"/>
      <c r="F30" s="6"/>
      <c r="G30" s="6"/>
      <c r="H30" s="6"/>
      <c r="I30" s="6"/>
      <c r="J30" s="6"/>
      <c r="K30" s="6"/>
      <c r="L30" s="6"/>
      <c r="M30" s="6"/>
      <c r="N30" s="6"/>
      <c r="O30" s="6"/>
      <c r="P30" s="6"/>
      <c r="Q30" s="10"/>
      <c r="S30" s="6"/>
      <c r="T30" s="6"/>
      <c r="U30" s="6"/>
      <c r="V30" s="6"/>
      <c r="W30" s="6"/>
      <c r="X30" s="6"/>
      <c r="Y30" s="6"/>
      <c r="Z30" s="6"/>
      <c r="AA30" s="6"/>
      <c r="AB30" s="6"/>
      <c r="AC30" s="6"/>
      <c r="AD30" s="6"/>
      <c r="AE30" s="10">
        <f t="shared" si="12"/>
        <v>0</v>
      </c>
      <c r="AG30" s="6"/>
      <c r="AH30" s="6"/>
      <c r="AI30" s="6"/>
      <c r="AJ30" s="6"/>
      <c r="AK30" s="6"/>
      <c r="AL30" s="6"/>
      <c r="AM30" s="6"/>
      <c r="AN30" s="6"/>
      <c r="AO30" s="6"/>
      <c r="AP30" s="6"/>
      <c r="AQ30" s="6"/>
      <c r="AR30" s="6"/>
      <c r="AS30" s="10"/>
      <c r="AU30" s="6"/>
      <c r="AV30" s="6"/>
      <c r="AW30" s="6"/>
      <c r="AX30" s="6"/>
      <c r="AY30" s="6"/>
      <c r="AZ30" s="6"/>
      <c r="BA30" s="6"/>
      <c r="BB30" s="6"/>
      <c r="BC30" s="6"/>
      <c r="BD30" s="6"/>
      <c r="BE30" s="6"/>
      <c r="BF30" s="6"/>
      <c r="BG30" s="10"/>
      <c r="BI30" s="6"/>
      <c r="BJ30" s="6"/>
      <c r="BK30" s="6"/>
      <c r="BL30" s="6"/>
      <c r="BM30" s="6"/>
      <c r="BN30" s="6"/>
      <c r="BO30" s="6"/>
      <c r="BP30" s="6"/>
      <c r="BQ30" s="6"/>
      <c r="BR30" s="6"/>
      <c r="BS30" s="6"/>
      <c r="BT30" s="6"/>
      <c r="BU30" s="10"/>
      <c r="BW30" s="6"/>
      <c r="BX30" s="6"/>
      <c r="BY30" s="6"/>
      <c r="BZ30" s="6"/>
      <c r="CA30" s="6"/>
      <c r="CB30" s="6"/>
      <c r="CC30" s="6"/>
      <c r="CD30" s="6"/>
      <c r="CE30" s="6"/>
      <c r="CF30" s="6"/>
      <c r="CG30" s="6"/>
      <c r="CH30" s="6"/>
      <c r="CI30" s="10"/>
    </row>
    <row r="31" spans="3:87" x14ac:dyDescent="0.25">
      <c r="C31" s="4" t="s">
        <v>14</v>
      </c>
      <c r="E31" s="6"/>
      <c r="F31" s="6"/>
      <c r="G31" s="6"/>
      <c r="H31" s="6"/>
      <c r="I31" s="6"/>
      <c r="J31" s="6"/>
      <c r="K31" s="6"/>
      <c r="L31" s="6"/>
      <c r="M31" s="6">
        <v>150</v>
      </c>
      <c r="N31" s="6">
        <v>150</v>
      </c>
      <c r="O31" s="6">
        <v>150</v>
      </c>
      <c r="P31" s="6">
        <v>150</v>
      </c>
      <c r="Q31" s="10">
        <f t="shared" ref="Q31:Q42" si="13">SUM(E31:P31)</f>
        <v>600</v>
      </c>
      <c r="S31" s="6">
        <v>100</v>
      </c>
      <c r="T31" s="6">
        <v>150</v>
      </c>
      <c r="U31" s="6">
        <v>200</v>
      </c>
      <c r="V31" s="6">
        <v>200</v>
      </c>
      <c r="W31" s="6">
        <v>200</v>
      </c>
      <c r="X31" s="6">
        <v>200</v>
      </c>
      <c r="Y31" s="6">
        <v>200</v>
      </c>
      <c r="Z31" s="6">
        <v>200</v>
      </c>
      <c r="AA31" s="6">
        <v>200</v>
      </c>
      <c r="AB31" s="6">
        <v>200</v>
      </c>
      <c r="AC31" s="6">
        <v>200</v>
      </c>
      <c r="AD31" s="6">
        <v>200</v>
      </c>
      <c r="AE31" s="10">
        <f t="shared" ref="AE31:AE42" si="14">SUM(S31:AD31)</f>
        <v>2250</v>
      </c>
      <c r="AG31" s="6"/>
      <c r="AH31" s="6"/>
      <c r="AI31" s="6"/>
      <c r="AJ31" s="6"/>
      <c r="AK31" s="6"/>
      <c r="AL31" s="6"/>
      <c r="AM31" s="6"/>
      <c r="AN31" s="6"/>
      <c r="AO31" s="6"/>
      <c r="AP31" s="6"/>
      <c r="AQ31" s="6"/>
      <c r="AR31" s="6"/>
      <c r="AS31" s="10">
        <f t="shared" ref="AS31:AS42" si="15">SUM(AG31:AR31)</f>
        <v>0</v>
      </c>
      <c r="AU31" s="6"/>
      <c r="AV31" s="6"/>
      <c r="AW31" s="6"/>
      <c r="AX31" s="6"/>
      <c r="AY31" s="6"/>
      <c r="AZ31" s="6"/>
      <c r="BA31" s="6"/>
      <c r="BB31" s="6"/>
      <c r="BC31" s="6"/>
      <c r="BD31" s="6"/>
      <c r="BE31" s="6"/>
      <c r="BF31" s="6"/>
      <c r="BG31" s="10">
        <f t="shared" ref="BG31:BG42" si="16">SUM(AU31:BF31)</f>
        <v>0</v>
      </c>
      <c r="BI31" s="6"/>
      <c r="BJ31" s="6"/>
      <c r="BK31" s="6"/>
      <c r="BL31" s="6"/>
      <c r="BM31" s="6"/>
      <c r="BN31" s="6"/>
      <c r="BO31" s="6"/>
      <c r="BP31" s="6"/>
      <c r="BQ31" s="6"/>
      <c r="BR31" s="6"/>
      <c r="BS31" s="6"/>
      <c r="BT31" s="6"/>
      <c r="BU31" s="10">
        <f t="shared" ref="BU31:BU41" si="17">SUM(BI31:BT31)</f>
        <v>0</v>
      </c>
      <c r="BW31" s="6"/>
      <c r="BX31" s="6"/>
      <c r="BY31" s="6"/>
      <c r="BZ31" s="6"/>
      <c r="CA31" s="6"/>
      <c r="CB31" s="6"/>
      <c r="CC31" s="6"/>
      <c r="CD31" s="6"/>
      <c r="CE31" s="6"/>
      <c r="CF31" s="6"/>
      <c r="CG31" s="6"/>
      <c r="CH31" s="6"/>
      <c r="CI31" s="10">
        <f t="shared" ref="CI31:CI42" si="18">SUM(BW31:CH31)</f>
        <v>0</v>
      </c>
    </row>
    <row r="32" spans="3:87" x14ac:dyDescent="0.25">
      <c r="C32" s="4" t="s">
        <v>15</v>
      </c>
      <c r="E32" s="6"/>
      <c r="F32" s="6"/>
      <c r="G32" s="6"/>
      <c r="H32" s="6"/>
      <c r="I32" s="6"/>
      <c r="J32" s="6"/>
      <c r="K32" s="6"/>
      <c r="L32" s="6"/>
      <c r="M32" s="6">
        <v>200</v>
      </c>
      <c r="N32" s="6">
        <v>200</v>
      </c>
      <c r="O32" s="6">
        <v>200</v>
      </c>
      <c r="P32" s="6">
        <v>300</v>
      </c>
      <c r="Q32" s="10">
        <f t="shared" si="13"/>
        <v>900</v>
      </c>
      <c r="S32" s="6">
        <v>100</v>
      </c>
      <c r="T32" s="6">
        <v>200</v>
      </c>
      <c r="U32" s="6">
        <v>200</v>
      </c>
      <c r="V32" s="6">
        <v>200</v>
      </c>
      <c r="W32" s="6">
        <v>200</v>
      </c>
      <c r="X32" s="6">
        <v>200</v>
      </c>
      <c r="Y32" s="6">
        <v>200</v>
      </c>
      <c r="Z32" s="6">
        <v>200</v>
      </c>
      <c r="AA32" s="6">
        <v>200</v>
      </c>
      <c r="AB32" s="6">
        <v>200</v>
      </c>
      <c r="AC32" s="6">
        <v>200</v>
      </c>
      <c r="AD32" s="6">
        <v>200</v>
      </c>
      <c r="AE32" s="10">
        <f t="shared" si="14"/>
        <v>2300</v>
      </c>
      <c r="AG32" s="6"/>
      <c r="AH32" s="6"/>
      <c r="AI32" s="6"/>
      <c r="AJ32" s="6"/>
      <c r="AK32" s="6"/>
      <c r="AL32" s="6"/>
      <c r="AM32" s="6"/>
      <c r="AN32" s="6"/>
      <c r="AO32" s="6"/>
      <c r="AP32" s="6"/>
      <c r="AQ32" s="6"/>
      <c r="AR32" s="6"/>
      <c r="AS32" s="10">
        <f t="shared" si="15"/>
        <v>0</v>
      </c>
      <c r="AU32" s="6"/>
      <c r="AV32" s="6"/>
      <c r="AW32" s="6"/>
      <c r="AX32" s="6"/>
      <c r="AY32" s="6"/>
      <c r="AZ32" s="6"/>
      <c r="BA32" s="6"/>
      <c r="BB32" s="6"/>
      <c r="BC32" s="6"/>
      <c r="BD32" s="6"/>
      <c r="BE32" s="6"/>
      <c r="BF32" s="6"/>
      <c r="BG32" s="10">
        <f t="shared" si="16"/>
        <v>0</v>
      </c>
      <c r="BI32" s="6"/>
      <c r="BJ32" s="6"/>
      <c r="BK32" s="6"/>
      <c r="BL32" s="6"/>
      <c r="BM32" s="6"/>
      <c r="BN32" s="6"/>
      <c r="BO32" s="6"/>
      <c r="BP32" s="6"/>
      <c r="BQ32" s="6"/>
      <c r="BR32" s="6"/>
      <c r="BS32" s="6"/>
      <c r="BT32" s="6"/>
      <c r="BU32" s="10">
        <f t="shared" si="17"/>
        <v>0</v>
      </c>
      <c r="BW32" s="6"/>
      <c r="BX32" s="6"/>
      <c r="BY32" s="6"/>
      <c r="BZ32" s="6"/>
      <c r="CA32" s="6"/>
      <c r="CB32" s="6"/>
      <c r="CC32" s="6"/>
      <c r="CD32" s="6"/>
      <c r="CE32" s="6"/>
      <c r="CF32" s="6"/>
      <c r="CG32" s="6"/>
      <c r="CH32" s="6"/>
      <c r="CI32" s="10">
        <f t="shared" si="18"/>
        <v>0</v>
      </c>
    </row>
    <row r="33" spans="3:87" x14ac:dyDescent="0.25">
      <c r="C33" s="4" t="s">
        <v>124</v>
      </c>
      <c r="E33" s="6"/>
      <c r="F33" s="6"/>
      <c r="G33" s="6"/>
      <c r="H33" s="6"/>
      <c r="I33" s="6"/>
      <c r="J33" s="6"/>
      <c r="K33" s="6"/>
      <c r="L33" s="6"/>
      <c r="M33" s="6"/>
      <c r="N33" s="6"/>
      <c r="O33" s="6"/>
      <c r="P33" s="6"/>
      <c r="Q33" s="10"/>
      <c r="S33" s="6"/>
      <c r="T33" s="6">
        <v>300</v>
      </c>
      <c r="U33" s="6"/>
      <c r="V33" s="6">
        <v>50</v>
      </c>
      <c r="W33" s="6">
        <v>50</v>
      </c>
      <c r="X33" s="6">
        <v>50</v>
      </c>
      <c r="Y33" s="6">
        <v>24.4</v>
      </c>
      <c r="Z33" s="6">
        <v>24.4</v>
      </c>
      <c r="AA33" s="6">
        <v>24.4</v>
      </c>
      <c r="AB33" s="6">
        <v>24.4</v>
      </c>
      <c r="AC33" s="6">
        <v>24.4</v>
      </c>
      <c r="AD33" s="6">
        <v>24.4</v>
      </c>
      <c r="AE33" s="10">
        <f t="shared" si="14"/>
        <v>596.39999999999986</v>
      </c>
      <c r="AG33" s="6"/>
      <c r="AH33" s="6"/>
      <c r="AI33" s="6"/>
      <c r="AJ33" s="6"/>
      <c r="AK33" s="6"/>
      <c r="AL33" s="6"/>
      <c r="AM33" s="6"/>
      <c r="AN33" s="6"/>
      <c r="AO33" s="6"/>
      <c r="AP33" s="6"/>
      <c r="AQ33" s="6"/>
      <c r="AR33" s="6"/>
      <c r="AS33" s="10"/>
      <c r="AU33" s="6"/>
      <c r="AV33" s="6"/>
      <c r="AW33" s="6"/>
      <c r="AX33" s="6"/>
      <c r="AY33" s="6"/>
      <c r="AZ33" s="6"/>
      <c r="BA33" s="6"/>
      <c r="BB33" s="6"/>
      <c r="BC33" s="6"/>
      <c r="BD33" s="6"/>
      <c r="BE33" s="6"/>
      <c r="BF33" s="6"/>
      <c r="BG33" s="10"/>
      <c r="BI33" s="6"/>
      <c r="BJ33" s="6"/>
      <c r="BK33" s="6"/>
      <c r="BL33" s="6"/>
      <c r="BM33" s="6"/>
      <c r="BN33" s="6"/>
      <c r="BO33" s="6"/>
      <c r="BP33" s="6"/>
      <c r="BQ33" s="6"/>
      <c r="BR33" s="6"/>
      <c r="BS33" s="6"/>
      <c r="BT33" s="6"/>
      <c r="BU33" s="10"/>
      <c r="BW33" s="6"/>
      <c r="BX33" s="6"/>
      <c r="BY33" s="6"/>
      <c r="BZ33" s="6"/>
      <c r="CA33" s="6"/>
      <c r="CB33" s="6"/>
      <c r="CC33" s="6"/>
      <c r="CD33" s="6"/>
      <c r="CE33" s="6"/>
      <c r="CF33" s="6"/>
      <c r="CG33" s="6"/>
      <c r="CH33" s="6"/>
      <c r="CI33" s="10"/>
    </row>
    <row r="34" spans="3:87" x14ac:dyDescent="0.25">
      <c r="C34" s="4" t="s">
        <v>16</v>
      </c>
      <c r="D34" s="5"/>
      <c r="E34" s="6"/>
      <c r="F34" s="6"/>
      <c r="G34" s="6"/>
      <c r="H34" s="6"/>
      <c r="I34" s="6"/>
      <c r="J34" s="6"/>
      <c r="K34" s="6"/>
      <c r="L34" s="6"/>
      <c r="M34" s="6">
        <v>100</v>
      </c>
      <c r="N34" s="6">
        <v>100</v>
      </c>
      <c r="O34" s="6">
        <v>100</v>
      </c>
      <c r="P34" s="6">
        <v>0</v>
      </c>
      <c r="Q34" s="10">
        <f t="shared" si="13"/>
        <v>300</v>
      </c>
      <c r="S34" s="6">
        <v>150</v>
      </c>
      <c r="T34" s="6">
        <v>80</v>
      </c>
      <c r="U34" s="6">
        <v>80</v>
      </c>
      <c r="V34" s="6">
        <v>80</v>
      </c>
      <c r="W34" s="6">
        <v>80</v>
      </c>
      <c r="X34" s="6">
        <v>80</v>
      </c>
      <c r="Y34" s="6">
        <v>80</v>
      </c>
      <c r="Z34" s="6">
        <v>80</v>
      </c>
      <c r="AA34" s="6">
        <v>80</v>
      </c>
      <c r="AB34" s="6">
        <v>80</v>
      </c>
      <c r="AC34" s="6">
        <v>80</v>
      </c>
      <c r="AD34" s="6">
        <v>80</v>
      </c>
      <c r="AE34" s="10">
        <f t="shared" si="14"/>
        <v>1030</v>
      </c>
      <c r="AG34" s="6"/>
      <c r="AH34" s="6"/>
      <c r="AI34" s="6"/>
      <c r="AJ34" s="6"/>
      <c r="AK34" s="6"/>
      <c r="AL34" s="6"/>
      <c r="AM34" s="6"/>
      <c r="AN34" s="6"/>
      <c r="AO34" s="6"/>
      <c r="AP34" s="6"/>
      <c r="AQ34" s="6"/>
      <c r="AR34" s="6"/>
      <c r="AS34" s="10">
        <f t="shared" si="15"/>
        <v>0</v>
      </c>
      <c r="AU34" s="6"/>
      <c r="AV34" s="6"/>
      <c r="AW34" s="6"/>
      <c r="AX34" s="6"/>
      <c r="AY34" s="6"/>
      <c r="AZ34" s="6"/>
      <c r="BA34" s="6"/>
      <c r="BB34" s="6"/>
      <c r="BC34" s="6"/>
      <c r="BD34" s="6"/>
      <c r="BE34" s="6"/>
      <c r="BF34" s="6"/>
      <c r="BG34" s="10">
        <f t="shared" si="16"/>
        <v>0</v>
      </c>
      <c r="BI34" s="6"/>
      <c r="BJ34" s="6"/>
      <c r="BK34" s="6"/>
      <c r="BL34" s="6"/>
      <c r="BM34" s="6"/>
      <c r="BN34" s="6"/>
      <c r="BO34" s="6"/>
      <c r="BP34" s="6"/>
      <c r="BQ34" s="6"/>
      <c r="BR34" s="6"/>
      <c r="BS34" s="6"/>
      <c r="BT34" s="6"/>
      <c r="BU34" s="10">
        <f t="shared" si="17"/>
        <v>0</v>
      </c>
      <c r="BW34" s="6"/>
      <c r="BX34" s="6"/>
      <c r="BY34" s="6"/>
      <c r="BZ34" s="6"/>
      <c r="CA34" s="6"/>
      <c r="CB34" s="6"/>
      <c r="CC34" s="6"/>
      <c r="CD34" s="6"/>
      <c r="CE34" s="6"/>
      <c r="CF34" s="6"/>
      <c r="CG34" s="6"/>
      <c r="CH34" s="6"/>
      <c r="CI34" s="10">
        <f t="shared" si="18"/>
        <v>0</v>
      </c>
    </row>
    <row r="35" spans="3:87" x14ac:dyDescent="0.25">
      <c r="C35" s="4" t="s">
        <v>17</v>
      </c>
      <c r="D35" s="5"/>
      <c r="E35" s="6"/>
      <c r="F35" s="6"/>
      <c r="G35" s="6"/>
      <c r="H35" s="6"/>
      <c r="I35" s="6"/>
      <c r="J35" s="6"/>
      <c r="K35" s="6"/>
      <c r="L35" s="6"/>
      <c r="M35" s="6">
        <v>100</v>
      </c>
      <c r="N35" s="6">
        <v>100</v>
      </c>
      <c r="O35" s="6">
        <v>100</v>
      </c>
      <c r="P35" s="6">
        <v>0</v>
      </c>
      <c r="Q35" s="10">
        <f t="shared" si="13"/>
        <v>300</v>
      </c>
      <c r="S35" s="6">
        <v>0</v>
      </c>
      <c r="T35" s="6">
        <v>50</v>
      </c>
      <c r="U35" s="6"/>
      <c r="V35" s="6">
        <v>50</v>
      </c>
      <c r="W35" s="6">
        <v>50</v>
      </c>
      <c r="X35" s="6">
        <v>50</v>
      </c>
      <c r="Y35" s="6">
        <v>50</v>
      </c>
      <c r="Z35" s="6">
        <v>50</v>
      </c>
      <c r="AA35" s="6">
        <v>50</v>
      </c>
      <c r="AB35" s="6">
        <v>50</v>
      </c>
      <c r="AC35" s="6">
        <v>50</v>
      </c>
      <c r="AD35" s="6">
        <v>50</v>
      </c>
      <c r="AE35" s="10">
        <f t="shared" si="14"/>
        <v>500</v>
      </c>
      <c r="AG35" s="6"/>
      <c r="AH35" s="6"/>
      <c r="AI35" s="6"/>
      <c r="AJ35" s="6"/>
      <c r="AK35" s="6"/>
      <c r="AL35" s="6"/>
      <c r="AM35" s="6"/>
      <c r="AN35" s="6"/>
      <c r="AO35" s="6"/>
      <c r="AP35" s="6"/>
      <c r="AQ35" s="6"/>
      <c r="AR35" s="6"/>
      <c r="AS35" s="10">
        <f t="shared" si="15"/>
        <v>0</v>
      </c>
      <c r="AU35" s="6"/>
      <c r="AV35" s="6"/>
      <c r="AW35" s="6"/>
      <c r="AX35" s="6"/>
      <c r="AY35" s="6"/>
      <c r="AZ35" s="6"/>
      <c r="BA35" s="6"/>
      <c r="BB35" s="6"/>
      <c r="BC35" s="6"/>
      <c r="BD35" s="6"/>
      <c r="BE35" s="6"/>
      <c r="BF35" s="6"/>
      <c r="BG35" s="10">
        <f t="shared" si="16"/>
        <v>0</v>
      </c>
      <c r="BI35" s="6"/>
      <c r="BJ35" s="6"/>
      <c r="BK35" s="6"/>
      <c r="BL35" s="6"/>
      <c r="BM35" s="6"/>
      <c r="BN35" s="6"/>
      <c r="BO35" s="6"/>
      <c r="BP35" s="6"/>
      <c r="BQ35" s="6"/>
      <c r="BR35" s="6"/>
      <c r="BS35" s="6"/>
      <c r="BT35" s="6"/>
      <c r="BU35" s="10">
        <f t="shared" si="17"/>
        <v>0</v>
      </c>
      <c r="BW35" s="6"/>
      <c r="BX35" s="6"/>
      <c r="BY35" s="6"/>
      <c r="BZ35" s="6"/>
      <c r="CA35" s="6"/>
      <c r="CB35" s="6"/>
      <c r="CC35" s="6"/>
      <c r="CD35" s="6"/>
      <c r="CE35" s="6"/>
      <c r="CF35" s="6"/>
      <c r="CG35" s="6"/>
      <c r="CH35" s="6"/>
      <c r="CI35" s="10">
        <f t="shared" si="18"/>
        <v>0</v>
      </c>
    </row>
    <row r="36" spans="3:87" x14ac:dyDescent="0.25">
      <c r="C36" s="4" t="s">
        <v>18</v>
      </c>
      <c r="D36" s="5"/>
      <c r="E36" s="6"/>
      <c r="F36" s="6"/>
      <c r="G36" s="6"/>
      <c r="H36" s="6"/>
      <c r="I36" s="6"/>
      <c r="J36" s="6"/>
      <c r="K36" s="6"/>
      <c r="L36" s="6"/>
      <c r="M36" s="6">
        <v>200</v>
      </c>
      <c r="N36" s="6">
        <v>200</v>
      </c>
      <c r="O36" s="6">
        <v>200</v>
      </c>
      <c r="P36" s="6">
        <v>100</v>
      </c>
      <c r="Q36" s="10">
        <f t="shared" si="13"/>
        <v>700</v>
      </c>
      <c r="S36" s="6">
        <v>300</v>
      </c>
      <c r="T36" s="6">
        <v>100</v>
      </c>
      <c r="U36" s="6">
        <v>100</v>
      </c>
      <c r="V36" s="6">
        <v>100</v>
      </c>
      <c r="W36" s="6">
        <v>100</v>
      </c>
      <c r="X36" s="6">
        <v>100</v>
      </c>
      <c r="Y36" s="6">
        <v>120</v>
      </c>
      <c r="Z36" s="6">
        <v>120</v>
      </c>
      <c r="AA36" s="6">
        <v>120</v>
      </c>
      <c r="AB36" s="6">
        <v>120</v>
      </c>
      <c r="AC36" s="6">
        <v>120</v>
      </c>
      <c r="AD36" s="6">
        <v>120</v>
      </c>
      <c r="AE36" s="10">
        <f t="shared" si="14"/>
        <v>1520</v>
      </c>
      <c r="AG36" s="6"/>
      <c r="AH36" s="6"/>
      <c r="AI36" s="6"/>
      <c r="AJ36" s="6"/>
      <c r="AK36" s="6"/>
      <c r="AL36" s="6"/>
      <c r="AM36" s="6"/>
      <c r="AN36" s="6"/>
      <c r="AO36" s="6"/>
      <c r="AP36" s="6"/>
      <c r="AQ36" s="6"/>
      <c r="AR36" s="6"/>
      <c r="AS36" s="10">
        <f t="shared" si="15"/>
        <v>0</v>
      </c>
      <c r="AU36" s="6"/>
      <c r="AV36" s="6"/>
      <c r="AW36" s="6"/>
      <c r="AX36" s="6"/>
      <c r="AY36" s="6"/>
      <c r="AZ36" s="6"/>
      <c r="BA36" s="6"/>
      <c r="BB36" s="6"/>
      <c r="BC36" s="6"/>
      <c r="BD36" s="6"/>
      <c r="BE36" s="6"/>
      <c r="BF36" s="6"/>
      <c r="BG36" s="10">
        <f t="shared" si="16"/>
        <v>0</v>
      </c>
      <c r="BI36" s="6"/>
      <c r="BJ36" s="6"/>
      <c r="BK36" s="6"/>
      <c r="BL36" s="6"/>
      <c r="BM36" s="6"/>
      <c r="BN36" s="6"/>
      <c r="BO36" s="6"/>
      <c r="BP36" s="6"/>
      <c r="BQ36" s="6"/>
      <c r="BR36" s="6"/>
      <c r="BS36" s="6"/>
      <c r="BT36" s="6"/>
      <c r="BU36" s="10">
        <f t="shared" si="17"/>
        <v>0</v>
      </c>
      <c r="BW36" s="6"/>
      <c r="BX36" s="6"/>
      <c r="BY36" s="6"/>
      <c r="BZ36" s="6"/>
      <c r="CA36" s="6"/>
      <c r="CB36" s="6"/>
      <c r="CC36" s="6"/>
      <c r="CD36" s="6"/>
      <c r="CE36" s="6"/>
      <c r="CF36" s="6"/>
      <c r="CG36" s="6"/>
      <c r="CH36" s="6"/>
      <c r="CI36" s="10">
        <f t="shared" si="18"/>
        <v>0</v>
      </c>
    </row>
    <row r="37" spans="3:87" x14ac:dyDescent="0.25">
      <c r="C37" s="4" t="s">
        <v>19</v>
      </c>
      <c r="D37" s="5"/>
      <c r="E37" s="6"/>
      <c r="F37" s="6"/>
      <c r="G37" s="6"/>
      <c r="H37" s="6"/>
      <c r="I37" s="6"/>
      <c r="J37" s="6"/>
      <c r="K37" s="6"/>
      <c r="L37" s="6"/>
      <c r="M37" s="6">
        <v>200</v>
      </c>
      <c r="N37" s="6">
        <v>200</v>
      </c>
      <c r="O37" s="6">
        <v>200</v>
      </c>
      <c r="P37" s="6">
        <v>50</v>
      </c>
      <c r="Q37" s="10">
        <f t="shared" si="13"/>
        <v>650</v>
      </c>
      <c r="S37" s="6">
        <v>100</v>
      </c>
      <c r="T37" s="6">
        <v>70</v>
      </c>
      <c r="U37" s="6">
        <v>100</v>
      </c>
      <c r="V37" s="6">
        <v>100</v>
      </c>
      <c r="W37" s="6">
        <v>100</v>
      </c>
      <c r="X37" s="6">
        <v>100</v>
      </c>
      <c r="Y37" s="6">
        <v>100</v>
      </c>
      <c r="Z37" s="6">
        <v>100</v>
      </c>
      <c r="AA37" s="6">
        <v>100</v>
      </c>
      <c r="AB37" s="6">
        <v>100</v>
      </c>
      <c r="AC37" s="6">
        <v>100</v>
      </c>
      <c r="AD37" s="6">
        <v>100</v>
      </c>
      <c r="AE37" s="10">
        <f t="shared" si="14"/>
        <v>1170</v>
      </c>
      <c r="AG37" s="6"/>
      <c r="AH37" s="6"/>
      <c r="AI37" s="6"/>
      <c r="AJ37" s="6"/>
      <c r="AK37" s="6"/>
      <c r="AL37" s="6"/>
      <c r="AM37" s="6"/>
      <c r="AN37" s="6"/>
      <c r="AO37" s="6"/>
      <c r="AP37" s="6"/>
      <c r="AQ37" s="6"/>
      <c r="AR37" s="6"/>
      <c r="AS37" s="10">
        <f t="shared" si="15"/>
        <v>0</v>
      </c>
      <c r="AU37" s="6"/>
      <c r="AV37" s="6"/>
      <c r="AW37" s="6"/>
      <c r="AX37" s="6"/>
      <c r="AY37" s="6"/>
      <c r="AZ37" s="6"/>
      <c r="BA37" s="6"/>
      <c r="BB37" s="6"/>
      <c r="BC37" s="6"/>
      <c r="BD37" s="6"/>
      <c r="BE37" s="6"/>
      <c r="BF37" s="6"/>
      <c r="BG37" s="10">
        <f t="shared" si="16"/>
        <v>0</v>
      </c>
      <c r="BI37" s="6"/>
      <c r="BJ37" s="6"/>
      <c r="BK37" s="6"/>
      <c r="BL37" s="6"/>
      <c r="BM37" s="6"/>
      <c r="BN37" s="6"/>
      <c r="BO37" s="6"/>
      <c r="BP37" s="6"/>
      <c r="BQ37" s="6"/>
      <c r="BR37" s="6"/>
      <c r="BS37" s="6"/>
      <c r="BT37" s="6"/>
      <c r="BU37" s="10">
        <f t="shared" si="17"/>
        <v>0</v>
      </c>
      <c r="BW37" s="6"/>
      <c r="BX37" s="6"/>
      <c r="BY37" s="6"/>
      <c r="BZ37" s="6"/>
      <c r="CA37" s="6"/>
      <c r="CB37" s="6"/>
      <c r="CC37" s="6"/>
      <c r="CD37" s="6"/>
      <c r="CE37" s="6"/>
      <c r="CF37" s="6"/>
      <c r="CG37" s="6"/>
      <c r="CH37" s="6"/>
      <c r="CI37" s="10">
        <f t="shared" si="18"/>
        <v>0</v>
      </c>
    </row>
    <row r="38" spans="3:87" x14ac:dyDescent="0.25">
      <c r="C38" s="4" t="s">
        <v>20</v>
      </c>
      <c r="D38" s="5"/>
      <c r="E38" s="6"/>
      <c r="F38" s="6"/>
      <c r="G38" s="6"/>
      <c r="H38" s="6"/>
      <c r="I38" s="6"/>
      <c r="J38" s="6"/>
      <c r="K38" s="6"/>
      <c r="L38" s="6"/>
      <c r="M38" s="6">
        <v>300</v>
      </c>
      <c r="N38" s="6">
        <v>300</v>
      </c>
      <c r="O38" s="6">
        <v>300</v>
      </c>
      <c r="P38" s="6">
        <v>300</v>
      </c>
      <c r="Q38" s="10">
        <f t="shared" si="13"/>
        <v>1200</v>
      </c>
      <c r="S38" s="6">
        <v>600</v>
      </c>
      <c r="T38" s="6">
        <v>549.35</v>
      </c>
      <c r="U38" s="6">
        <v>300</v>
      </c>
      <c r="V38" s="6">
        <v>300</v>
      </c>
      <c r="W38" s="6">
        <v>300</v>
      </c>
      <c r="X38" s="6">
        <v>300</v>
      </c>
      <c r="Y38" s="6">
        <v>300</v>
      </c>
      <c r="Z38" s="6">
        <v>300</v>
      </c>
      <c r="AA38" s="6">
        <v>300</v>
      </c>
      <c r="AB38" s="6">
        <v>300</v>
      </c>
      <c r="AC38" s="6">
        <v>300</v>
      </c>
      <c r="AD38" s="6">
        <v>300</v>
      </c>
      <c r="AE38" s="10">
        <f t="shared" si="14"/>
        <v>4149.3500000000004</v>
      </c>
      <c r="AG38" s="6"/>
      <c r="AH38" s="6"/>
      <c r="AI38" s="6"/>
      <c r="AJ38" s="6"/>
      <c r="AK38" s="6"/>
      <c r="AL38" s="6"/>
      <c r="AM38" s="6"/>
      <c r="AN38" s="6"/>
      <c r="AO38" s="6"/>
      <c r="AP38" s="6"/>
      <c r="AQ38" s="6"/>
      <c r="AR38" s="6"/>
      <c r="AS38" s="10">
        <f t="shared" si="15"/>
        <v>0</v>
      </c>
      <c r="AU38" s="6"/>
      <c r="AV38" s="6"/>
      <c r="AW38" s="6"/>
      <c r="AX38" s="6"/>
      <c r="AY38" s="6"/>
      <c r="AZ38" s="6"/>
      <c r="BA38" s="6"/>
      <c r="BB38" s="6"/>
      <c r="BC38" s="6"/>
      <c r="BD38" s="6"/>
      <c r="BE38" s="6"/>
      <c r="BF38" s="6"/>
      <c r="BG38" s="10">
        <f t="shared" si="16"/>
        <v>0</v>
      </c>
      <c r="BI38" s="6"/>
      <c r="BJ38" s="6"/>
      <c r="BK38" s="6"/>
      <c r="BL38" s="6"/>
      <c r="BM38" s="6"/>
      <c r="BN38" s="6"/>
      <c r="BO38" s="6"/>
      <c r="BP38" s="6"/>
      <c r="BQ38" s="6"/>
      <c r="BR38" s="6"/>
      <c r="BS38" s="6"/>
      <c r="BT38" s="6"/>
      <c r="BU38" s="10">
        <f t="shared" si="17"/>
        <v>0</v>
      </c>
      <c r="BW38" s="6"/>
      <c r="BX38" s="6"/>
      <c r="BY38" s="6"/>
      <c r="BZ38" s="6"/>
      <c r="CA38" s="6"/>
      <c r="CB38" s="6"/>
      <c r="CC38" s="6"/>
      <c r="CD38" s="6"/>
      <c r="CE38" s="6"/>
      <c r="CF38" s="6"/>
      <c r="CG38" s="6"/>
      <c r="CH38" s="6"/>
      <c r="CI38" s="10">
        <f t="shared" si="18"/>
        <v>0</v>
      </c>
    </row>
    <row r="39" spans="3:87" x14ac:dyDescent="0.25">
      <c r="C39" s="4" t="s">
        <v>21</v>
      </c>
      <c r="D39" s="5"/>
      <c r="E39" s="6"/>
      <c r="F39" s="6"/>
      <c r="G39" s="6"/>
      <c r="H39" s="6"/>
      <c r="I39" s="6"/>
      <c r="J39" s="6"/>
      <c r="K39" s="6"/>
      <c r="L39" s="6"/>
      <c r="M39" s="6">
        <v>100</v>
      </c>
      <c r="N39" s="6">
        <v>100</v>
      </c>
      <c r="O39" s="6">
        <v>100</v>
      </c>
      <c r="P39" s="6">
        <v>50</v>
      </c>
      <c r="Q39" s="10">
        <f t="shared" si="13"/>
        <v>350</v>
      </c>
      <c r="S39" s="6">
        <v>0</v>
      </c>
      <c r="T39" s="6">
        <v>30</v>
      </c>
      <c r="U39" s="6"/>
      <c r="V39" s="6"/>
      <c r="W39" s="6"/>
      <c r="X39" s="6"/>
      <c r="Y39" s="6"/>
      <c r="Z39" s="6"/>
      <c r="AA39" s="6"/>
      <c r="AB39" s="6"/>
      <c r="AC39" s="6"/>
      <c r="AD39" s="6"/>
      <c r="AE39" s="10">
        <f t="shared" si="14"/>
        <v>30</v>
      </c>
      <c r="AG39" s="6"/>
      <c r="AH39" s="6"/>
      <c r="AI39" s="6"/>
      <c r="AJ39" s="6"/>
      <c r="AK39" s="6"/>
      <c r="AL39" s="6"/>
      <c r="AM39" s="6"/>
      <c r="AN39" s="6"/>
      <c r="AO39" s="6"/>
      <c r="AP39" s="6"/>
      <c r="AQ39" s="6"/>
      <c r="AR39" s="6"/>
      <c r="AS39" s="10">
        <f t="shared" si="15"/>
        <v>0</v>
      </c>
      <c r="AU39" s="6"/>
      <c r="AV39" s="6"/>
      <c r="AW39" s="6"/>
      <c r="AX39" s="6"/>
      <c r="AY39" s="6"/>
      <c r="AZ39" s="6"/>
      <c r="BA39" s="6"/>
      <c r="BB39" s="6"/>
      <c r="BC39" s="6"/>
      <c r="BD39" s="6"/>
      <c r="BE39" s="6"/>
      <c r="BF39" s="6"/>
      <c r="BG39" s="10">
        <f t="shared" si="16"/>
        <v>0</v>
      </c>
      <c r="BI39" s="6"/>
      <c r="BJ39" s="6"/>
      <c r="BK39" s="6"/>
      <c r="BL39" s="6"/>
      <c r="BM39" s="6"/>
      <c r="BN39" s="6"/>
      <c r="BO39" s="6"/>
      <c r="BP39" s="6"/>
      <c r="BQ39" s="6"/>
      <c r="BR39" s="6"/>
      <c r="BS39" s="6"/>
      <c r="BT39" s="6"/>
      <c r="BU39" s="10">
        <f t="shared" si="17"/>
        <v>0</v>
      </c>
      <c r="BW39" s="6"/>
      <c r="BX39" s="6"/>
      <c r="BY39" s="6"/>
      <c r="BZ39" s="6"/>
      <c r="CA39" s="6"/>
      <c r="CB39" s="6"/>
      <c r="CC39" s="6"/>
      <c r="CD39" s="6"/>
      <c r="CE39" s="6"/>
      <c r="CF39" s="6"/>
      <c r="CG39" s="6"/>
      <c r="CH39" s="6"/>
      <c r="CI39" s="10">
        <f t="shared" si="18"/>
        <v>0</v>
      </c>
    </row>
    <row r="40" spans="3:87" x14ac:dyDescent="0.25">
      <c r="C40" s="4" t="s">
        <v>125</v>
      </c>
      <c r="D40" s="5"/>
      <c r="E40" s="6"/>
      <c r="F40" s="6"/>
      <c r="G40" s="6"/>
      <c r="H40" s="6"/>
      <c r="I40" s="6"/>
      <c r="J40" s="6"/>
      <c r="K40" s="6"/>
      <c r="L40" s="6"/>
      <c r="M40" s="6"/>
      <c r="N40" s="6"/>
      <c r="O40" s="6"/>
      <c r="P40" s="6"/>
      <c r="Q40" s="10"/>
      <c r="S40" s="6">
        <v>50</v>
      </c>
      <c r="T40" s="6">
        <v>200</v>
      </c>
      <c r="U40" s="6"/>
      <c r="V40" s="6"/>
      <c r="W40" s="6"/>
      <c r="X40" s="6"/>
      <c r="Y40" s="6"/>
      <c r="Z40" s="6"/>
      <c r="AA40" s="6"/>
      <c r="AB40" s="6"/>
      <c r="AC40" s="6"/>
      <c r="AD40" s="6"/>
      <c r="AE40" s="10">
        <f t="shared" si="14"/>
        <v>250</v>
      </c>
      <c r="AG40" s="6"/>
      <c r="AH40" s="6"/>
      <c r="AI40" s="6"/>
      <c r="AJ40" s="6"/>
      <c r="AK40" s="6"/>
      <c r="AL40" s="6"/>
      <c r="AM40" s="6"/>
      <c r="AN40" s="6"/>
      <c r="AO40" s="6"/>
      <c r="AP40" s="6"/>
      <c r="AQ40" s="6"/>
      <c r="AR40" s="6"/>
      <c r="AS40" s="10"/>
      <c r="AU40" s="6"/>
      <c r="AV40" s="6"/>
      <c r="AW40" s="6"/>
      <c r="AX40" s="6"/>
      <c r="AY40" s="6"/>
      <c r="AZ40" s="6"/>
      <c r="BA40" s="6"/>
      <c r="BB40" s="6"/>
      <c r="BC40" s="6"/>
      <c r="BD40" s="6"/>
      <c r="BE40" s="6"/>
      <c r="BF40" s="6"/>
      <c r="BG40" s="10"/>
      <c r="BI40" s="6"/>
      <c r="BJ40" s="6"/>
      <c r="BK40" s="6"/>
      <c r="BL40" s="6"/>
      <c r="BM40" s="6"/>
      <c r="BN40" s="6"/>
      <c r="BO40" s="6"/>
      <c r="BP40" s="6"/>
      <c r="BQ40" s="6"/>
      <c r="BR40" s="6"/>
      <c r="BS40" s="6"/>
      <c r="BT40" s="6"/>
      <c r="BU40" s="10"/>
      <c r="BW40" s="6"/>
      <c r="BX40" s="6"/>
      <c r="BY40" s="6"/>
      <c r="BZ40" s="6"/>
      <c r="CA40" s="6"/>
      <c r="CB40" s="6"/>
      <c r="CC40" s="6"/>
      <c r="CD40" s="6"/>
      <c r="CE40" s="6"/>
      <c r="CF40" s="6"/>
      <c r="CG40" s="6"/>
      <c r="CH40" s="6"/>
      <c r="CI40" s="10"/>
    </row>
    <row r="41" spans="3:87" x14ac:dyDescent="0.25">
      <c r="C41" s="4" t="s">
        <v>22</v>
      </c>
      <c r="D41" s="5"/>
      <c r="E41" s="6"/>
      <c r="F41" s="6"/>
      <c r="G41" s="6"/>
      <c r="H41" s="6"/>
      <c r="I41" s="6"/>
      <c r="J41" s="6"/>
      <c r="K41" s="6"/>
      <c r="L41" s="6"/>
      <c r="M41" s="6">
        <v>24.75</v>
      </c>
      <c r="N41" s="6">
        <v>24.75</v>
      </c>
      <c r="O41" s="6">
        <v>24.75</v>
      </c>
      <c r="P41" s="6">
        <v>33.119999999999997</v>
      </c>
      <c r="Q41" s="10">
        <f t="shared" si="13"/>
        <v>107.37</v>
      </c>
      <c r="S41" s="6">
        <v>20</v>
      </c>
      <c r="T41" s="6">
        <v>12.993</v>
      </c>
      <c r="U41" s="6"/>
      <c r="V41" s="6"/>
      <c r="W41" s="6"/>
      <c r="X41" s="6"/>
      <c r="Y41" s="6"/>
      <c r="Z41" s="6"/>
      <c r="AA41" s="6"/>
      <c r="AB41" s="6"/>
      <c r="AC41" s="6"/>
      <c r="AD41" s="6"/>
      <c r="AE41" s="10">
        <f t="shared" si="14"/>
        <v>32.993000000000002</v>
      </c>
      <c r="AG41" s="6"/>
      <c r="AH41" s="6"/>
      <c r="AI41" s="6"/>
      <c r="AJ41" s="6"/>
      <c r="AK41" s="6"/>
      <c r="AL41" s="6"/>
      <c r="AM41" s="6"/>
      <c r="AN41" s="6"/>
      <c r="AO41" s="6"/>
      <c r="AP41" s="6"/>
      <c r="AQ41" s="6"/>
      <c r="AR41" s="6"/>
      <c r="AS41" s="10">
        <f t="shared" si="15"/>
        <v>0</v>
      </c>
      <c r="AU41" s="6"/>
      <c r="AV41" s="6"/>
      <c r="AW41" s="6"/>
      <c r="AX41" s="6"/>
      <c r="AY41" s="6"/>
      <c r="AZ41" s="6"/>
      <c r="BA41" s="6"/>
      <c r="BB41" s="6"/>
      <c r="BC41" s="6"/>
      <c r="BD41" s="6"/>
      <c r="BE41" s="6"/>
      <c r="BF41" s="6"/>
      <c r="BG41" s="10">
        <f t="shared" si="16"/>
        <v>0</v>
      </c>
      <c r="BI41" s="6"/>
      <c r="BJ41" s="6"/>
      <c r="BK41" s="6"/>
      <c r="BL41" s="6"/>
      <c r="BM41" s="6"/>
      <c r="BN41" s="6"/>
      <c r="BO41" s="6"/>
      <c r="BP41" s="6"/>
      <c r="BQ41" s="6"/>
      <c r="BR41" s="6"/>
      <c r="BS41" s="6"/>
      <c r="BT41" s="6"/>
      <c r="BU41" s="10">
        <f t="shared" si="17"/>
        <v>0</v>
      </c>
      <c r="BW41" s="6"/>
      <c r="BX41" s="6"/>
      <c r="BY41" s="6"/>
      <c r="BZ41" s="6"/>
      <c r="CA41" s="6"/>
      <c r="CB41" s="6"/>
      <c r="CC41" s="6"/>
      <c r="CD41" s="6"/>
      <c r="CE41" s="6"/>
      <c r="CF41" s="6"/>
      <c r="CG41" s="6"/>
      <c r="CH41" s="6"/>
      <c r="CI41" s="10">
        <f t="shared" si="18"/>
        <v>0</v>
      </c>
    </row>
    <row r="42" spans="3:87" x14ac:dyDescent="0.25">
      <c r="C42" s="4" t="s">
        <v>23</v>
      </c>
      <c r="D42" s="5"/>
      <c r="E42" s="6"/>
      <c r="F42" s="6"/>
      <c r="G42" s="6"/>
      <c r="H42" s="6"/>
      <c r="I42" s="6"/>
      <c r="J42" s="6"/>
      <c r="K42" s="6"/>
      <c r="L42" s="6"/>
      <c r="M42" s="6"/>
      <c r="N42" s="6"/>
      <c r="O42" s="6"/>
      <c r="P42" s="6"/>
      <c r="Q42" s="10">
        <f t="shared" si="13"/>
        <v>0</v>
      </c>
      <c r="S42" s="6"/>
      <c r="T42" s="6"/>
      <c r="U42" s="6"/>
      <c r="V42" s="6"/>
      <c r="W42" s="6"/>
      <c r="X42" s="6"/>
      <c r="Y42" s="6"/>
      <c r="Z42" s="6"/>
      <c r="AA42" s="6"/>
      <c r="AB42" s="6"/>
      <c r="AC42" s="6"/>
      <c r="AD42" s="6"/>
      <c r="AE42" s="10">
        <f t="shared" si="14"/>
        <v>0</v>
      </c>
      <c r="AG42" s="6"/>
      <c r="AH42" s="6"/>
      <c r="AI42" s="6"/>
      <c r="AJ42" s="6"/>
      <c r="AK42" s="6"/>
      <c r="AL42" s="6"/>
      <c r="AM42" s="6"/>
      <c r="AN42" s="6"/>
      <c r="AO42" s="6"/>
      <c r="AP42" s="6"/>
      <c r="AQ42" s="6"/>
      <c r="AR42" s="6"/>
      <c r="AS42" s="10">
        <f t="shared" si="15"/>
        <v>0</v>
      </c>
      <c r="AU42" s="6"/>
      <c r="AV42" s="6"/>
      <c r="AW42" s="6"/>
      <c r="AX42" s="6"/>
      <c r="AY42" s="6"/>
      <c r="AZ42" s="6"/>
      <c r="BA42" s="6"/>
      <c r="BB42" s="6"/>
      <c r="BC42" s="6"/>
      <c r="BD42" s="6"/>
      <c r="BE42" s="6"/>
      <c r="BF42" s="6"/>
      <c r="BG42" s="10">
        <f t="shared" si="16"/>
        <v>0</v>
      </c>
      <c r="BI42" s="6"/>
      <c r="BJ42" s="6"/>
      <c r="BK42" s="6"/>
      <c r="BL42" s="6"/>
      <c r="BM42" s="6"/>
      <c r="BN42" s="6"/>
      <c r="BO42" s="6"/>
      <c r="BP42" s="6"/>
      <c r="BQ42" s="6"/>
      <c r="BR42" s="6"/>
      <c r="BS42" s="6"/>
      <c r="BT42" s="6"/>
      <c r="BU42" s="10">
        <f t="shared" ref="BU42" si="19">SUM(BI42:BT42)</f>
        <v>0</v>
      </c>
      <c r="BW42" s="6"/>
      <c r="BX42" s="6"/>
      <c r="BY42" s="6"/>
      <c r="BZ42" s="6"/>
      <c r="CA42" s="6"/>
      <c r="CB42" s="6"/>
      <c r="CC42" s="6"/>
      <c r="CD42" s="6"/>
      <c r="CE42" s="6"/>
      <c r="CF42" s="6"/>
      <c r="CG42" s="6"/>
      <c r="CH42" s="6"/>
      <c r="CI42" s="10">
        <f t="shared" si="18"/>
        <v>0</v>
      </c>
    </row>
    <row r="43" spans="3:87" x14ac:dyDescent="0.25">
      <c r="C43" s="3" t="s">
        <v>6</v>
      </c>
      <c r="E43" s="9" cm="1">
        <f t="array" aca="1" ref="E43" ca="1">SUM(INDIRECT(ADDRESS(expenses_min_row,COLUMN()) &amp; ":" &amp; ADDRESS(expenses_max_row,COLUMN())))</f>
        <v>0</v>
      </c>
      <c r="F43" s="9" cm="1">
        <f t="array" aca="1" ref="F43" ca="1">SUM(INDIRECT(ADDRESS(expenses_min_row,COLUMN()) &amp; ":" &amp; ADDRESS(expenses_max_row,COLUMN())))</f>
        <v>0</v>
      </c>
      <c r="G43" s="9" cm="1">
        <f t="array" aca="1" ref="G43" ca="1">SUM(INDIRECT(ADDRESS(expenses_min_row,COLUMN()) &amp; ":" &amp; ADDRESS(expenses_max_row,COLUMN())))</f>
        <v>0</v>
      </c>
      <c r="H43" s="9" cm="1">
        <f t="array" aca="1" ref="H43" ca="1">SUM(INDIRECT(ADDRESS(expenses_min_row,COLUMN()) &amp; ":" &amp; ADDRESS(expenses_max_row,COLUMN())))</f>
        <v>0</v>
      </c>
      <c r="I43" s="9" cm="1">
        <f t="array" aca="1" ref="I43" ca="1">SUM(INDIRECT(ADDRESS(expenses_min_row,COLUMN()) &amp; ":" &amp; ADDRESS(expenses_max_row,COLUMN())))</f>
        <v>0</v>
      </c>
      <c r="J43" s="9" cm="1">
        <f t="array" aca="1" ref="J43" ca="1">SUM(INDIRECT(ADDRESS(expenses_min_row,COLUMN()) &amp; ":" &amp; ADDRESS(expenses_max_row,COLUMN())))</f>
        <v>0</v>
      </c>
      <c r="K43" s="9" cm="1">
        <f t="array" aca="1" ref="K43" ca="1">SUM(INDIRECT(ADDRESS(expenses_min_row,COLUMN()) &amp; ":" &amp; ADDRESS(expenses_max_row,COLUMN())))</f>
        <v>0</v>
      </c>
      <c r="L43" s="9" cm="1">
        <f t="array" aca="1" ref="L43" ca="1">SUM(INDIRECT(ADDRESS(expenses_min_row,COLUMN()) &amp; ":" &amp; ADDRESS(expenses_max_row,COLUMN())))</f>
        <v>0</v>
      </c>
      <c r="M43" s="9" cm="1">
        <f t="array" aca="1" ref="M43" ca="1">SUM(INDIRECT(ADDRESS(expenses_min_row,COLUMN()) &amp; ":" &amp; ADDRESS(expenses_max_row,COLUMN())))</f>
        <v>2984</v>
      </c>
      <c r="N43" s="9" cm="1">
        <f t="array" aca="1" ref="N43" ca="1">SUM(INDIRECT(ADDRESS(expenses_min_row,COLUMN()) &amp; ":" &amp; ADDRESS(expenses_max_row,COLUMN())))</f>
        <v>2984</v>
      </c>
      <c r="O43" s="9" cm="1">
        <f t="array" aca="1" ref="O43" ca="1">SUM(INDIRECT(ADDRESS(expenses_min_row,COLUMN()) &amp; ":" &amp; ADDRESS(expenses_max_row,COLUMN())))</f>
        <v>2984</v>
      </c>
      <c r="P43" s="9" cm="1">
        <f t="array" aca="1" ref="P43" ca="1">SUM(INDIRECT(ADDRESS(expenses_min_row,COLUMN()) &amp; ":" &amp; ADDRESS(expenses_max_row,COLUMN())))</f>
        <v>2852.75</v>
      </c>
      <c r="Q43" s="9" cm="1">
        <f t="array" aca="1" ref="Q43" ca="1">SUM(INDIRECT(ADDRESS(expenses_min_row,COLUMN()) &amp; ":" &amp; ADDRESS(expenses_max_row,COLUMN())))</f>
        <v>11804.750000000002</v>
      </c>
      <c r="S43" s="9" cm="1">
        <f t="array" aca="1" ref="S43" ca="1">SUM(INDIRECT(ADDRESS(expenses_min_row,COLUMN()) &amp; ":" &amp; ADDRESS(expenses_max_row,COLUMN())))</f>
        <v>4212.7999999999993</v>
      </c>
      <c r="T43" s="9" cm="1">
        <f t="array" aca="1" ref="T43" ca="1">SUM(INDIRECT(ADDRESS(expenses_min_row,COLUMN()) &amp; ":" &amp; ADDRESS(expenses_max_row,COLUMN())))</f>
        <v>4829.1730000000007</v>
      </c>
      <c r="U43" s="9" cm="1">
        <f t="array" aca="1" ref="U43" ca="1">SUM(INDIRECT(ADDRESS(expenses_min_row,COLUMN()) &amp; ":" &amp; ADDRESS(expenses_max_row,COLUMN())))</f>
        <v>4017.85</v>
      </c>
      <c r="V43" s="9" cm="1">
        <f t="array" aca="1" ref="V43" ca="1">SUM(INDIRECT(ADDRESS(expenses_min_row,COLUMN()) &amp; ":" &amp; ADDRESS(expenses_max_row,COLUMN())))</f>
        <v>5897.8499999999995</v>
      </c>
      <c r="W43" s="9" cm="1">
        <f t="array" aca="1" ref="W43" ca="1">SUM(INDIRECT(ADDRESS(expenses_min_row,COLUMN()) &amp; ":" &amp; ADDRESS(expenses_max_row,COLUMN())))</f>
        <v>4117.8500000000004</v>
      </c>
      <c r="X43" s="9" cm="1">
        <f t="array" aca="1" ref="X43" ca="1">SUM(INDIRECT(ADDRESS(expenses_min_row,COLUMN()) &amp; ":" &amp; ADDRESS(expenses_max_row,COLUMN())))</f>
        <v>4117.8500000000004</v>
      </c>
      <c r="Y43" s="9" cm="1">
        <f t="array" aca="1" ref="Y43" ca="1">SUM(INDIRECT(ADDRESS(expenses_min_row,COLUMN()) &amp; ":" &amp; ADDRESS(expenses_max_row,COLUMN())))</f>
        <v>3887.85</v>
      </c>
      <c r="Z43" s="9" cm="1">
        <f t="array" aca="1" ref="Z43" ca="1">SUM(INDIRECT(ADDRESS(expenses_min_row,COLUMN()) &amp; ":" &amp; ADDRESS(expenses_max_row,COLUMN())))</f>
        <v>3887.85</v>
      </c>
      <c r="AA43" s="9" cm="1">
        <f t="array" aca="1" ref="AA43" ca="1">SUM(INDIRECT(ADDRESS(expenses_min_row,COLUMN()) &amp; ":" &amp; ADDRESS(expenses_max_row,COLUMN())))</f>
        <v>3887.85</v>
      </c>
      <c r="AB43" s="9" cm="1">
        <f t="array" aca="1" ref="AB43" ca="1">SUM(INDIRECT(ADDRESS(expenses_min_row,COLUMN()) &amp; ":" &amp; ADDRESS(expenses_max_row,COLUMN())))</f>
        <v>3887.85</v>
      </c>
      <c r="AC43" s="9" cm="1">
        <f t="array" aca="1" ref="AC43" ca="1">SUM(INDIRECT(ADDRESS(expenses_min_row,COLUMN()) &amp; ":" &amp; ADDRESS(expenses_max_row,COLUMN())))</f>
        <v>3887.85</v>
      </c>
      <c r="AD43" s="9" cm="1">
        <f t="array" aca="1" ref="AD43" ca="1">SUM(INDIRECT(ADDRESS(expenses_min_row,COLUMN()) &amp; ":" &amp; ADDRESS(expenses_max_row,COLUMN())))</f>
        <v>3887.85</v>
      </c>
      <c r="AE43" s="9" cm="1">
        <f t="array" aca="1" ref="AE43" ca="1">SUM(INDIRECT(ADDRESS(expenses_min_row,COLUMN()) &amp; ":" &amp; ADDRESS(expenses_max_row,COLUMN())))</f>
        <v>50520.473000000005</v>
      </c>
      <c r="AG43" s="9" cm="1">
        <f t="array" aca="1" ref="AG43" ca="1">SUM(INDIRECT(ADDRESS(expenses_min_row,COLUMN()) &amp; ":" &amp; ADDRESS(expenses_max_row,COLUMN())))</f>
        <v>1530</v>
      </c>
      <c r="AH43" s="9" cm="1">
        <f t="array" aca="1" ref="AH43" ca="1">SUM(INDIRECT(ADDRESS(expenses_min_row,COLUMN()) &amp; ":" &amp; ADDRESS(expenses_max_row,COLUMN())))</f>
        <v>1530</v>
      </c>
      <c r="AI43" s="9" cm="1">
        <f t="array" aca="1" ref="AI43" ca="1">SUM(INDIRECT(ADDRESS(expenses_min_row,COLUMN()) &amp; ":" &amp; ADDRESS(expenses_max_row,COLUMN())))</f>
        <v>1530</v>
      </c>
      <c r="AJ43" s="9" cm="1">
        <f t="array" aca="1" ref="AJ43" ca="1">SUM(INDIRECT(ADDRESS(expenses_min_row,COLUMN()) &amp; ":" &amp; ADDRESS(expenses_max_row,COLUMN())))</f>
        <v>1530</v>
      </c>
      <c r="AK43" s="9" cm="1">
        <f t="array" aca="1" ref="AK43" ca="1">SUM(INDIRECT(ADDRESS(expenses_min_row,COLUMN()) &amp; ":" &amp; ADDRESS(expenses_max_row,COLUMN())))</f>
        <v>1530</v>
      </c>
      <c r="AL43" s="9" cm="1">
        <f t="array" aca="1" ref="AL43" ca="1">SUM(INDIRECT(ADDRESS(expenses_min_row,COLUMN()) &amp; ":" &amp; ADDRESS(expenses_max_row,COLUMN())))</f>
        <v>1530</v>
      </c>
      <c r="AM43" s="9" cm="1">
        <f t="array" aca="1" ref="AM43" ca="1">SUM(INDIRECT(ADDRESS(expenses_min_row,COLUMN()) &amp; ":" &amp; ADDRESS(expenses_max_row,COLUMN())))</f>
        <v>1530</v>
      </c>
      <c r="AN43" s="9" cm="1">
        <f t="array" aca="1" ref="AN43" ca="1">SUM(INDIRECT(ADDRESS(expenses_min_row,COLUMN()) &amp; ":" &amp; ADDRESS(expenses_max_row,COLUMN())))</f>
        <v>1530</v>
      </c>
      <c r="AO43" s="9" cm="1">
        <f t="array" aca="1" ref="AO43" ca="1">SUM(INDIRECT(ADDRESS(expenses_min_row,COLUMN()) &amp; ":" &amp; ADDRESS(expenses_max_row,COLUMN())))</f>
        <v>1530</v>
      </c>
      <c r="AP43" s="9" cm="1">
        <f t="array" aca="1" ref="AP43" ca="1">SUM(INDIRECT(ADDRESS(expenses_min_row,COLUMN()) &amp; ":" &amp; ADDRESS(expenses_max_row,COLUMN())))</f>
        <v>1530</v>
      </c>
      <c r="AQ43" s="9" cm="1">
        <f t="array" aca="1" ref="AQ43" ca="1">SUM(INDIRECT(ADDRESS(expenses_min_row,COLUMN()) &amp; ":" &amp; ADDRESS(expenses_max_row,COLUMN())))</f>
        <v>1530</v>
      </c>
      <c r="AR43" s="9" cm="1">
        <f t="array" aca="1" ref="AR43" ca="1">SUM(INDIRECT(ADDRESS(expenses_min_row,COLUMN()) &amp; ":" &amp; ADDRESS(expenses_max_row,COLUMN())))</f>
        <v>1530</v>
      </c>
      <c r="AS43" s="9" cm="1">
        <f t="array" aca="1" ref="AS43" ca="1">SUM(INDIRECT(ADDRESS(expenses_min_row,COLUMN()) &amp; ":" &amp; ADDRESS(expenses_max_row,COLUMN())))</f>
        <v>18360</v>
      </c>
      <c r="AU43" s="9" cm="1">
        <f t="array" aca="1" ref="AU43" ca="1">SUM(INDIRECT(ADDRESS(expenses_min_row,COLUMN()) &amp; ":" &amp; ADDRESS(expenses_max_row,COLUMN())))</f>
        <v>0</v>
      </c>
      <c r="AV43" s="9" cm="1">
        <f t="array" aca="1" ref="AV43" ca="1">SUM(INDIRECT(ADDRESS(expenses_min_row,COLUMN()) &amp; ":" &amp; ADDRESS(expenses_max_row,COLUMN())))</f>
        <v>0</v>
      </c>
      <c r="AW43" s="9" cm="1">
        <f t="array" aca="1" ref="AW43" ca="1">SUM(INDIRECT(ADDRESS(expenses_min_row,COLUMN()) &amp; ":" &amp; ADDRESS(expenses_max_row,COLUMN())))</f>
        <v>0</v>
      </c>
      <c r="AX43" s="9" cm="1">
        <f t="array" aca="1" ref="AX43" ca="1">SUM(INDIRECT(ADDRESS(expenses_min_row,COLUMN()) &amp; ":" &amp; ADDRESS(expenses_max_row,COLUMN())))</f>
        <v>0</v>
      </c>
      <c r="AY43" s="9" cm="1">
        <f t="array" aca="1" ref="AY43" ca="1">SUM(INDIRECT(ADDRESS(expenses_min_row,COLUMN()) &amp; ":" &amp; ADDRESS(expenses_max_row,COLUMN())))</f>
        <v>0</v>
      </c>
      <c r="AZ43" s="9" cm="1">
        <f t="array" aca="1" ref="AZ43" ca="1">SUM(INDIRECT(ADDRESS(expenses_min_row,COLUMN()) &amp; ":" &amp; ADDRESS(expenses_max_row,COLUMN())))</f>
        <v>0</v>
      </c>
      <c r="BA43" s="9" cm="1">
        <f t="array" aca="1" ref="BA43" ca="1">SUM(INDIRECT(ADDRESS(expenses_min_row,COLUMN()) &amp; ":" &amp; ADDRESS(expenses_max_row,COLUMN())))</f>
        <v>0</v>
      </c>
      <c r="BB43" s="9" cm="1">
        <f t="array" aca="1" ref="BB43" ca="1">SUM(INDIRECT(ADDRESS(expenses_min_row,COLUMN()) &amp; ":" &amp; ADDRESS(expenses_max_row,COLUMN())))</f>
        <v>0</v>
      </c>
      <c r="BC43" s="9" cm="1">
        <f t="array" aca="1" ref="BC43" ca="1">SUM(INDIRECT(ADDRESS(expenses_min_row,COLUMN()) &amp; ":" &amp; ADDRESS(expenses_max_row,COLUMN())))</f>
        <v>0</v>
      </c>
      <c r="BD43" s="9" cm="1">
        <f t="array" aca="1" ref="BD43" ca="1">SUM(INDIRECT(ADDRESS(expenses_min_row,COLUMN()) &amp; ":" &amp; ADDRESS(expenses_max_row,COLUMN())))</f>
        <v>0</v>
      </c>
      <c r="BE43" s="9" cm="1">
        <f t="array" aca="1" ref="BE43" ca="1">SUM(INDIRECT(ADDRESS(expenses_min_row,COLUMN()) &amp; ":" &amp; ADDRESS(expenses_max_row,COLUMN())))</f>
        <v>0</v>
      </c>
      <c r="BF43" s="9" cm="1">
        <f t="array" aca="1" ref="BF43" ca="1">SUM(INDIRECT(ADDRESS(expenses_min_row,COLUMN()) &amp; ":" &amp; ADDRESS(expenses_max_row,COLUMN())))</f>
        <v>0</v>
      </c>
      <c r="BG43" s="9" cm="1">
        <f t="array" aca="1" ref="BG43" ca="1">SUM(INDIRECT(ADDRESS(expenses_min_row,COLUMN()) &amp; ":" &amp; ADDRESS(expenses_max_row,COLUMN())))</f>
        <v>0</v>
      </c>
      <c r="BI43" s="9" cm="1">
        <f t="array" aca="1" ref="BI43" ca="1">SUM(INDIRECT(ADDRESS(expenses_min_row,COLUMN()) &amp; ":" &amp; ADDRESS(expenses_max_row,COLUMN())))</f>
        <v>0</v>
      </c>
      <c r="BJ43" s="9" cm="1">
        <f t="array" aca="1" ref="BJ43" ca="1">SUM(INDIRECT(ADDRESS(expenses_min_row,COLUMN()) &amp; ":" &amp; ADDRESS(expenses_max_row,COLUMN())))</f>
        <v>0</v>
      </c>
      <c r="BK43" s="9" cm="1">
        <f t="array" aca="1" ref="BK43" ca="1">SUM(INDIRECT(ADDRESS(expenses_min_row,COLUMN()) &amp; ":" &amp; ADDRESS(expenses_max_row,COLUMN())))</f>
        <v>0</v>
      </c>
      <c r="BL43" s="9" cm="1">
        <f t="array" aca="1" ref="BL43" ca="1">SUM(INDIRECT(ADDRESS(expenses_min_row,COLUMN()) &amp; ":" &amp; ADDRESS(expenses_max_row,COLUMN())))</f>
        <v>0</v>
      </c>
      <c r="BM43" s="9" cm="1">
        <f t="array" aca="1" ref="BM43" ca="1">SUM(INDIRECT(ADDRESS(expenses_min_row,COLUMN()) &amp; ":" &amp; ADDRESS(expenses_max_row,COLUMN())))</f>
        <v>0</v>
      </c>
      <c r="BN43" s="9" cm="1">
        <f t="array" aca="1" ref="BN43" ca="1">SUM(INDIRECT(ADDRESS(expenses_min_row,COLUMN()) &amp; ":" &amp; ADDRESS(expenses_max_row,COLUMN())))</f>
        <v>0</v>
      </c>
      <c r="BO43" s="9" cm="1">
        <f t="array" aca="1" ref="BO43" ca="1">SUM(INDIRECT(ADDRESS(expenses_min_row,COLUMN()) &amp; ":" &amp; ADDRESS(expenses_max_row,COLUMN())))</f>
        <v>0</v>
      </c>
      <c r="BP43" s="9" cm="1">
        <f t="array" aca="1" ref="BP43" ca="1">SUM(INDIRECT(ADDRESS(expenses_min_row,COLUMN()) &amp; ":" &amp; ADDRESS(expenses_max_row,COLUMN())))</f>
        <v>0</v>
      </c>
      <c r="BQ43" s="9" cm="1">
        <f t="array" aca="1" ref="BQ43" ca="1">SUM(INDIRECT(ADDRESS(expenses_min_row,COLUMN()) &amp; ":" &amp; ADDRESS(expenses_max_row,COLUMN())))</f>
        <v>0</v>
      </c>
      <c r="BR43" s="9" cm="1">
        <f t="array" aca="1" ref="BR43" ca="1">SUM(INDIRECT(ADDRESS(expenses_min_row,COLUMN()) &amp; ":" &amp; ADDRESS(expenses_max_row,COLUMN())))</f>
        <v>0</v>
      </c>
      <c r="BS43" s="9" cm="1">
        <f t="array" aca="1" ref="BS43" ca="1">SUM(INDIRECT(ADDRESS(expenses_min_row,COLUMN()) &amp; ":" &amp; ADDRESS(expenses_max_row,COLUMN())))</f>
        <v>0</v>
      </c>
      <c r="BT43" s="9" cm="1">
        <f t="array" aca="1" ref="BT43" ca="1">SUM(INDIRECT(ADDRESS(expenses_min_row,COLUMN()) &amp; ":" &amp; ADDRESS(expenses_max_row,COLUMN())))</f>
        <v>0</v>
      </c>
      <c r="BU43" s="9" cm="1">
        <f t="array" aca="1" ref="BU43" ca="1">SUM(INDIRECT(ADDRESS(expenses_min_row,COLUMN()) &amp; ":" &amp; ADDRESS(expenses_max_row,COLUMN())))</f>
        <v>0</v>
      </c>
      <c r="BW43" s="9" cm="1">
        <f t="array" aca="1" ref="BW43" ca="1">SUM(INDIRECT(ADDRESS(expenses_min_row,COLUMN()) &amp; ":" &amp; ADDRESS(expenses_max_row,COLUMN())))</f>
        <v>0</v>
      </c>
      <c r="BX43" s="9" cm="1">
        <f t="array" aca="1" ref="BX43" ca="1">SUM(INDIRECT(ADDRESS(expenses_min_row,COLUMN()) &amp; ":" &amp; ADDRESS(expenses_max_row,COLUMN())))</f>
        <v>0</v>
      </c>
      <c r="BY43" s="9" cm="1">
        <f t="array" aca="1" ref="BY43" ca="1">SUM(INDIRECT(ADDRESS(expenses_min_row,COLUMN()) &amp; ":" &amp; ADDRESS(expenses_max_row,COLUMN())))</f>
        <v>0</v>
      </c>
      <c r="BZ43" s="9" cm="1">
        <f t="array" aca="1" ref="BZ43" ca="1">SUM(INDIRECT(ADDRESS(expenses_min_row,COLUMN()) &amp; ":" &amp; ADDRESS(expenses_max_row,COLUMN())))</f>
        <v>0</v>
      </c>
      <c r="CA43" s="9" cm="1">
        <f t="array" aca="1" ref="CA43" ca="1">SUM(INDIRECT(ADDRESS(expenses_min_row,COLUMN()) &amp; ":" &amp; ADDRESS(expenses_max_row,COLUMN())))</f>
        <v>0</v>
      </c>
      <c r="CB43" s="9" cm="1">
        <f t="array" aca="1" ref="CB43" ca="1">SUM(INDIRECT(ADDRESS(expenses_min_row,COLUMN()) &amp; ":" &amp; ADDRESS(expenses_max_row,COLUMN())))</f>
        <v>0</v>
      </c>
      <c r="CC43" s="9" cm="1">
        <f t="array" aca="1" ref="CC43" ca="1">SUM(INDIRECT(ADDRESS(expenses_min_row,COLUMN()) &amp; ":" &amp; ADDRESS(expenses_max_row,COLUMN())))</f>
        <v>0</v>
      </c>
      <c r="CD43" s="9" cm="1">
        <f t="array" aca="1" ref="CD43" ca="1">SUM(INDIRECT(ADDRESS(expenses_min_row,COLUMN()) &amp; ":" &amp; ADDRESS(expenses_max_row,COLUMN())))</f>
        <v>0</v>
      </c>
      <c r="CE43" s="9" cm="1">
        <f t="array" aca="1" ref="CE43" ca="1">SUM(INDIRECT(ADDRESS(expenses_min_row,COLUMN()) &amp; ":" &amp; ADDRESS(expenses_max_row,COLUMN())))</f>
        <v>0</v>
      </c>
      <c r="CF43" s="9" cm="1">
        <f t="array" aca="1" ref="CF43" ca="1">SUM(INDIRECT(ADDRESS(expenses_min_row,COLUMN()) &amp; ":" &amp; ADDRESS(expenses_max_row,COLUMN())))</f>
        <v>0</v>
      </c>
      <c r="CG43" s="9" cm="1">
        <f t="array" aca="1" ref="CG43" ca="1">SUM(INDIRECT(ADDRESS(expenses_min_row,COLUMN()) &amp; ":" &amp; ADDRESS(expenses_max_row,COLUMN())))</f>
        <v>0</v>
      </c>
      <c r="CH43" s="9" cm="1">
        <f t="array" aca="1" ref="CH43" ca="1">SUM(INDIRECT(ADDRESS(expenses_min_row,COLUMN()) &amp; ":" &amp; ADDRESS(expenses_max_row,COLUMN())))</f>
        <v>0</v>
      </c>
      <c r="CI43" s="9" cm="1">
        <f t="array" aca="1" ref="CI43" ca="1">SUM(INDIRECT(ADDRESS(expenses_min_row,COLUMN()) &amp; ":" &amp; ADDRESS(expenses_max_row,COLUMN())))</f>
        <v>0</v>
      </c>
    </row>
    <row r="45" spans="3:87" x14ac:dyDescent="0.25">
      <c r="C45" s="14" t="s">
        <v>24</v>
      </c>
      <c r="E45" s="15">
        <f>DATE(E$5,1,1)</f>
        <v>45658</v>
      </c>
      <c r="F45" s="15">
        <f>DATE(E$5,2,1)</f>
        <v>45689</v>
      </c>
      <c r="G45" s="15">
        <f>DATE(E$5,3,1)</f>
        <v>45717</v>
      </c>
      <c r="H45" s="15">
        <f>DATE(E$5,4,1)</f>
        <v>45748</v>
      </c>
      <c r="I45" s="15">
        <f>DATE(E$5,5,1)</f>
        <v>45778</v>
      </c>
      <c r="J45" s="15">
        <f>DATE(E$5,6,1)</f>
        <v>45809</v>
      </c>
      <c r="K45" s="15">
        <f>DATE(E$5,7,1)</f>
        <v>45839</v>
      </c>
      <c r="L45" s="15">
        <f>DATE(E$5,8,1)</f>
        <v>45870</v>
      </c>
      <c r="M45" s="15">
        <f>DATE(E$5,9,1)</f>
        <v>45901</v>
      </c>
      <c r="N45" s="15">
        <f>DATE(E$5,10,1)</f>
        <v>45931</v>
      </c>
      <c r="O45" s="15">
        <f>DATE(E$5,11,1)</f>
        <v>45962</v>
      </c>
      <c r="P45" s="15">
        <f>DATE(E$5,12,1)</f>
        <v>45992</v>
      </c>
      <c r="Q45" s="16">
        <f>E$5</f>
        <v>2025</v>
      </c>
      <c r="S45" s="15">
        <f>DATE(S$5,1,1)</f>
        <v>46023</v>
      </c>
      <c r="T45" s="15">
        <f>DATE(S$5,2,1)</f>
        <v>46054</v>
      </c>
      <c r="U45" s="15">
        <f>DATE(S$5,3,1)</f>
        <v>46082</v>
      </c>
      <c r="V45" s="15">
        <f>DATE(S$5,4,1)</f>
        <v>46113</v>
      </c>
      <c r="W45" s="15">
        <f>DATE(S$5,5,1)</f>
        <v>46143</v>
      </c>
      <c r="X45" s="15">
        <f>DATE(S$5,6,1)</f>
        <v>46174</v>
      </c>
      <c r="Y45" s="15">
        <f>DATE(S$5,7,1)</f>
        <v>46204</v>
      </c>
      <c r="Z45" s="15">
        <f>DATE(S$5,8,1)</f>
        <v>46235</v>
      </c>
      <c r="AA45" s="15">
        <f>DATE(S$5,9,1)</f>
        <v>46266</v>
      </c>
      <c r="AB45" s="15">
        <f>DATE(S$5,10,1)</f>
        <v>46296</v>
      </c>
      <c r="AC45" s="15">
        <f>DATE(S$5,11,1)</f>
        <v>46327</v>
      </c>
      <c r="AD45" s="15">
        <f>DATE(S$5,12,1)</f>
        <v>46357</v>
      </c>
      <c r="AE45" s="16">
        <f>S$5</f>
        <v>2026</v>
      </c>
      <c r="AG45" s="15">
        <f>DATE(AG$5,1,1)</f>
        <v>46388</v>
      </c>
      <c r="AH45" s="15">
        <f>DATE(AG$5,2,1)</f>
        <v>46419</v>
      </c>
      <c r="AI45" s="15">
        <f>DATE(AG$5,3,1)</f>
        <v>46447</v>
      </c>
      <c r="AJ45" s="15">
        <f>DATE(AG$5,4,1)</f>
        <v>46478</v>
      </c>
      <c r="AK45" s="15">
        <f>DATE(AG$5,5,1)</f>
        <v>46508</v>
      </c>
      <c r="AL45" s="15">
        <f>DATE(AG$5,6,1)</f>
        <v>46539</v>
      </c>
      <c r="AM45" s="15">
        <f>DATE(AG$5,7,1)</f>
        <v>46569</v>
      </c>
      <c r="AN45" s="15">
        <f>DATE(AG$5,8,1)</f>
        <v>46600</v>
      </c>
      <c r="AO45" s="15">
        <f>DATE(AG$5,9,1)</f>
        <v>46631</v>
      </c>
      <c r="AP45" s="15">
        <f>DATE(AG$5,10,1)</f>
        <v>46661</v>
      </c>
      <c r="AQ45" s="15">
        <f>DATE(AG$5,11,1)</f>
        <v>46692</v>
      </c>
      <c r="AR45" s="15">
        <f>DATE(AG$5,12,1)</f>
        <v>46722</v>
      </c>
      <c r="AS45" s="16">
        <f>AG$5</f>
        <v>2027</v>
      </c>
      <c r="AU45" s="15">
        <f>DATE(AU$5,1,1)</f>
        <v>46753</v>
      </c>
      <c r="AV45" s="15">
        <f>DATE(AU$5,2,1)</f>
        <v>46784</v>
      </c>
      <c r="AW45" s="15">
        <f>DATE(AU$5,3,1)</f>
        <v>46813</v>
      </c>
      <c r="AX45" s="15">
        <f>DATE(AU$5,4,1)</f>
        <v>46844</v>
      </c>
      <c r="AY45" s="15">
        <f>DATE(AU$5,5,1)</f>
        <v>46874</v>
      </c>
      <c r="AZ45" s="15">
        <f>DATE(AU$5,6,1)</f>
        <v>46905</v>
      </c>
      <c r="BA45" s="15">
        <f>DATE(AU$5,7,1)</f>
        <v>46935</v>
      </c>
      <c r="BB45" s="15">
        <f>DATE(AU$5,8,1)</f>
        <v>46966</v>
      </c>
      <c r="BC45" s="15">
        <f>DATE(AU$5,9,1)</f>
        <v>46997</v>
      </c>
      <c r="BD45" s="15">
        <f>DATE(AU$5,10,1)</f>
        <v>47027</v>
      </c>
      <c r="BE45" s="15">
        <f>DATE(AU$5,11,1)</f>
        <v>47058</v>
      </c>
      <c r="BF45" s="15">
        <f>DATE(AU$5,12,1)</f>
        <v>47088</v>
      </c>
      <c r="BG45" s="16">
        <f>AU$5</f>
        <v>2028</v>
      </c>
      <c r="BI45" s="15">
        <f>DATE(BI$5,1,1)</f>
        <v>47119</v>
      </c>
      <c r="BJ45" s="15">
        <f>DATE(BI$5,2,1)</f>
        <v>47150</v>
      </c>
      <c r="BK45" s="15">
        <f>DATE(BI$5,3,1)</f>
        <v>47178</v>
      </c>
      <c r="BL45" s="15">
        <f>DATE(BI$5,4,1)</f>
        <v>47209</v>
      </c>
      <c r="BM45" s="15">
        <f>DATE(BI$5,5,1)</f>
        <v>47239</v>
      </c>
      <c r="BN45" s="15">
        <f>DATE(BI$5,6,1)</f>
        <v>47270</v>
      </c>
      <c r="BO45" s="15">
        <f>DATE(BI$5,7,1)</f>
        <v>47300</v>
      </c>
      <c r="BP45" s="15">
        <f>DATE(BI$5,8,1)</f>
        <v>47331</v>
      </c>
      <c r="BQ45" s="15">
        <f>DATE(BI$5,9,1)</f>
        <v>47362</v>
      </c>
      <c r="BR45" s="15">
        <f>DATE(BI$5,10,1)</f>
        <v>47392</v>
      </c>
      <c r="BS45" s="15">
        <f>DATE(BI$5,11,1)</f>
        <v>47423</v>
      </c>
      <c r="BT45" s="15">
        <f>DATE(BI$5,12,1)</f>
        <v>47453</v>
      </c>
      <c r="BU45" s="16">
        <f>BI$5</f>
        <v>2029</v>
      </c>
      <c r="BW45" s="15">
        <f>DATE(BW$5,1,1)</f>
        <v>47484</v>
      </c>
      <c r="BX45" s="15">
        <f>DATE(BW$5,2,1)</f>
        <v>47515</v>
      </c>
      <c r="BY45" s="15">
        <f>DATE(BW$5,3,1)</f>
        <v>47543</v>
      </c>
      <c r="BZ45" s="15">
        <f>DATE(BW$5,4,1)</f>
        <v>47574</v>
      </c>
      <c r="CA45" s="15">
        <f>DATE(BW$5,5,1)</f>
        <v>47604</v>
      </c>
      <c r="CB45" s="15">
        <f>DATE(BW$5,6,1)</f>
        <v>47635</v>
      </c>
      <c r="CC45" s="15">
        <f>DATE(BW$5,7,1)</f>
        <v>47665</v>
      </c>
      <c r="CD45" s="15">
        <f>DATE(BW$5,8,1)</f>
        <v>47696</v>
      </c>
      <c r="CE45" s="15">
        <f>DATE(BW$5,9,1)</f>
        <v>47727</v>
      </c>
      <c r="CF45" s="15">
        <f>DATE(BW$5,10,1)</f>
        <v>47757</v>
      </c>
      <c r="CG45" s="15">
        <f>DATE(BW$5,11,1)</f>
        <v>47788</v>
      </c>
      <c r="CH45" s="15">
        <f>DATE(BW$5,12,1)</f>
        <v>47818</v>
      </c>
      <c r="CI45" s="16">
        <f>BW$5</f>
        <v>2030</v>
      </c>
    </row>
    <row r="46" spans="3:87" x14ac:dyDescent="0.25">
      <c r="C46" s="4" t="s">
        <v>25</v>
      </c>
      <c r="E46" s="6"/>
      <c r="F46" s="6"/>
      <c r="G46" s="6"/>
      <c r="H46" s="6"/>
      <c r="I46" s="6"/>
      <c r="J46" s="6"/>
      <c r="K46" s="6"/>
      <c r="L46" s="6"/>
      <c r="M46" s="6">
        <v>500</v>
      </c>
      <c r="N46" s="6">
        <v>500</v>
      </c>
      <c r="O46" s="6">
        <v>500</v>
      </c>
      <c r="P46" s="6">
        <v>1000</v>
      </c>
      <c r="Q46" s="10">
        <f t="shared" ref="Q46:Q57" si="20">SUM(E46:P46)</f>
        <v>2500</v>
      </c>
      <c r="S46" s="6">
        <v>100</v>
      </c>
      <c r="T46" s="6"/>
      <c r="U46" s="6">
        <v>400</v>
      </c>
      <c r="V46" s="6">
        <v>400</v>
      </c>
      <c r="W46" s="6">
        <v>400</v>
      </c>
      <c r="X46" s="6">
        <v>400</v>
      </c>
      <c r="Y46" s="6">
        <v>500</v>
      </c>
      <c r="Z46" s="6">
        <v>500</v>
      </c>
      <c r="AA46" s="6">
        <v>500</v>
      </c>
      <c r="AB46" s="6">
        <v>500</v>
      </c>
      <c r="AC46" s="6">
        <v>500</v>
      </c>
      <c r="AD46" s="6">
        <v>500</v>
      </c>
      <c r="AE46" s="10">
        <f t="shared" ref="AE46:AE57" si="21">SUM(S46:AD46)</f>
        <v>4700</v>
      </c>
      <c r="AG46" s="6">
        <v>253.5</v>
      </c>
      <c r="AH46" s="6">
        <v>253.5</v>
      </c>
      <c r="AI46" s="6">
        <v>253.5</v>
      </c>
      <c r="AJ46" s="6">
        <v>253.5</v>
      </c>
      <c r="AK46" s="6">
        <v>253.5</v>
      </c>
      <c r="AL46" s="6">
        <v>253.5</v>
      </c>
      <c r="AM46" s="6">
        <v>253.5</v>
      </c>
      <c r="AN46" s="6">
        <v>253.5</v>
      </c>
      <c r="AO46" s="6">
        <v>253.5</v>
      </c>
      <c r="AP46" s="6">
        <v>253.5</v>
      </c>
      <c r="AQ46" s="6">
        <v>253.5</v>
      </c>
      <c r="AR46" s="6">
        <v>253.5</v>
      </c>
      <c r="AS46" s="10">
        <f t="shared" ref="AS46:AS57" si="22">SUM(AG46:AR46)</f>
        <v>3042</v>
      </c>
      <c r="AU46" s="6"/>
      <c r="AV46" s="6"/>
      <c r="AW46" s="6"/>
      <c r="AX46" s="6"/>
      <c r="AY46" s="6"/>
      <c r="AZ46" s="6"/>
      <c r="BA46" s="6"/>
      <c r="BB46" s="6"/>
      <c r="BC46" s="6"/>
      <c r="BD46" s="6"/>
      <c r="BE46" s="6"/>
      <c r="BF46" s="6"/>
      <c r="BG46" s="10">
        <f t="shared" ref="BG46:BG57" si="23">SUM(AU46:BF46)</f>
        <v>0</v>
      </c>
      <c r="BI46" s="6"/>
      <c r="BJ46" s="6"/>
      <c r="BK46" s="6"/>
      <c r="BL46" s="6"/>
      <c r="BM46" s="6"/>
      <c r="BN46" s="6"/>
      <c r="BO46" s="6"/>
      <c r="BP46" s="6"/>
      <c r="BQ46" s="6"/>
      <c r="BR46" s="6"/>
      <c r="BS46" s="6"/>
      <c r="BT46" s="6"/>
      <c r="BU46" s="10">
        <f t="shared" ref="BU46:BU57" si="24">SUM(BI46:BT46)</f>
        <v>0</v>
      </c>
      <c r="BW46" s="6"/>
      <c r="BX46" s="6"/>
      <c r="BY46" s="6"/>
      <c r="BZ46" s="6"/>
      <c r="CA46" s="6"/>
      <c r="CB46" s="6"/>
      <c r="CC46" s="6"/>
      <c r="CD46" s="6"/>
      <c r="CE46" s="6"/>
      <c r="CF46" s="6"/>
      <c r="CG46" s="6"/>
      <c r="CH46" s="6"/>
      <c r="CI46" s="10">
        <f t="shared" ref="CI46:CI57" si="25">SUM(BW46:CH46)</f>
        <v>0</v>
      </c>
    </row>
    <row r="47" spans="3:87" x14ac:dyDescent="0.25">
      <c r="C47" s="4" t="s">
        <v>106</v>
      </c>
      <c r="E47" s="6"/>
      <c r="F47" s="6"/>
      <c r="G47" s="6"/>
      <c r="H47" s="6"/>
      <c r="I47" s="6"/>
      <c r="J47" s="6"/>
      <c r="K47" s="6"/>
      <c r="L47" s="6"/>
      <c r="M47" s="6">
        <v>500</v>
      </c>
      <c r="N47" s="6">
        <v>500</v>
      </c>
      <c r="O47" s="6">
        <v>500</v>
      </c>
      <c r="P47" s="6">
        <v>381.25</v>
      </c>
      <c r="Q47" s="10">
        <f t="shared" si="20"/>
        <v>1881.25</v>
      </c>
      <c r="S47" s="6">
        <v>762.5</v>
      </c>
      <c r="T47" s="6">
        <v>254.167</v>
      </c>
      <c r="U47" s="6">
        <v>254.17</v>
      </c>
      <c r="V47" s="6">
        <v>254.17</v>
      </c>
      <c r="W47" s="6">
        <v>254.17</v>
      </c>
      <c r="X47" s="6">
        <v>254.17</v>
      </c>
      <c r="Y47" s="6">
        <v>254.17</v>
      </c>
      <c r="Z47" s="6">
        <v>254.17</v>
      </c>
      <c r="AA47" s="6">
        <v>254.17</v>
      </c>
      <c r="AB47" s="6">
        <v>254.17</v>
      </c>
      <c r="AC47" s="6">
        <v>254.17</v>
      </c>
      <c r="AD47" s="6">
        <v>254.17</v>
      </c>
      <c r="AE47" s="10">
        <f t="shared" si="21"/>
        <v>3558.3670000000006</v>
      </c>
      <c r="AG47" s="6">
        <v>254.17</v>
      </c>
      <c r="AH47" s="6">
        <v>254.17</v>
      </c>
      <c r="AI47" s="6">
        <v>254.17</v>
      </c>
      <c r="AJ47" s="6">
        <v>254.17</v>
      </c>
      <c r="AK47" s="6">
        <v>254.17</v>
      </c>
      <c r="AL47" s="6">
        <v>254.17</v>
      </c>
      <c r="AM47" s="6">
        <v>254.17</v>
      </c>
      <c r="AN47" s="6">
        <v>254.17</v>
      </c>
      <c r="AO47" s="6">
        <v>254.17</v>
      </c>
      <c r="AP47" s="6">
        <v>254.17</v>
      </c>
      <c r="AQ47" s="6">
        <v>254.17</v>
      </c>
      <c r="AR47" s="6">
        <v>254.17</v>
      </c>
      <c r="AS47" s="10">
        <f t="shared" si="22"/>
        <v>3050.0400000000004</v>
      </c>
      <c r="AU47" s="6"/>
      <c r="AV47" s="6"/>
      <c r="AW47" s="6"/>
      <c r="AX47" s="6"/>
      <c r="AY47" s="6"/>
      <c r="AZ47" s="6"/>
      <c r="BA47" s="6"/>
      <c r="BB47" s="6"/>
      <c r="BC47" s="6"/>
      <c r="BD47" s="6"/>
      <c r="BE47" s="6"/>
      <c r="BF47" s="6"/>
      <c r="BG47" s="10">
        <f t="shared" si="23"/>
        <v>0</v>
      </c>
      <c r="BI47" s="6"/>
      <c r="BJ47" s="6"/>
      <c r="BK47" s="6"/>
      <c r="BL47" s="6"/>
      <c r="BM47" s="6"/>
      <c r="BN47" s="6"/>
      <c r="BO47" s="6"/>
      <c r="BP47" s="6"/>
      <c r="BQ47" s="6"/>
      <c r="BR47" s="6"/>
      <c r="BS47" s="6"/>
      <c r="BT47" s="6"/>
      <c r="BU47" s="10">
        <f t="shared" si="24"/>
        <v>0</v>
      </c>
      <c r="BW47" s="6"/>
      <c r="BX47" s="6"/>
      <c r="BY47" s="6"/>
      <c r="BZ47" s="6"/>
      <c r="CA47" s="6"/>
      <c r="CB47" s="6"/>
      <c r="CC47" s="6"/>
      <c r="CD47" s="6"/>
      <c r="CE47" s="6"/>
      <c r="CF47" s="6"/>
      <c r="CG47" s="6"/>
      <c r="CH47" s="6"/>
      <c r="CI47" s="10">
        <f t="shared" si="25"/>
        <v>0</v>
      </c>
    </row>
    <row r="48" spans="3:87" x14ac:dyDescent="0.25">
      <c r="C48" s="4" t="s">
        <v>107</v>
      </c>
      <c r="E48" s="6"/>
      <c r="F48" s="6"/>
      <c r="G48" s="6"/>
      <c r="H48" s="6"/>
      <c r="I48" s="6"/>
      <c r="J48" s="6"/>
      <c r="K48" s="6"/>
      <c r="L48" s="6"/>
      <c r="M48" s="6"/>
      <c r="N48" s="6"/>
      <c r="O48" s="6"/>
      <c r="P48" s="6"/>
      <c r="Q48" s="10"/>
      <c r="S48" s="6"/>
      <c r="T48" s="6"/>
      <c r="U48" s="6">
        <v>250</v>
      </c>
      <c r="V48" s="6">
        <v>250</v>
      </c>
      <c r="W48" s="6">
        <v>250</v>
      </c>
      <c r="X48" s="6">
        <v>250</v>
      </c>
      <c r="Y48" s="6">
        <v>350</v>
      </c>
      <c r="Z48" s="6">
        <v>350</v>
      </c>
      <c r="AA48" s="6">
        <v>350</v>
      </c>
      <c r="AB48" s="6">
        <v>350</v>
      </c>
      <c r="AC48" s="6">
        <v>350</v>
      </c>
      <c r="AD48" s="6">
        <v>350</v>
      </c>
      <c r="AE48" s="10">
        <f t="shared" si="21"/>
        <v>3100</v>
      </c>
      <c r="AG48" s="6">
        <v>508.34</v>
      </c>
      <c r="AH48" s="6">
        <v>508.34</v>
      </c>
      <c r="AI48" s="6">
        <v>508.34</v>
      </c>
      <c r="AJ48" s="6">
        <v>508.34</v>
      </c>
      <c r="AK48" s="6">
        <v>508.34</v>
      </c>
      <c r="AL48" s="6">
        <v>508.34</v>
      </c>
      <c r="AM48" s="6">
        <v>508.34</v>
      </c>
      <c r="AN48" s="6">
        <v>508.34</v>
      </c>
      <c r="AO48" s="6">
        <v>508.34</v>
      </c>
      <c r="AP48" s="6">
        <v>508.34</v>
      </c>
      <c r="AQ48" s="6">
        <v>508.34</v>
      </c>
      <c r="AR48" s="6">
        <v>508.34</v>
      </c>
      <c r="AS48" s="10">
        <f t="shared" si="22"/>
        <v>6100.0800000000008</v>
      </c>
      <c r="AU48" s="6"/>
      <c r="AV48" s="6"/>
      <c r="AW48" s="6"/>
      <c r="AX48" s="6"/>
      <c r="AY48" s="6"/>
      <c r="AZ48" s="6"/>
      <c r="BA48" s="6"/>
      <c r="BB48" s="6"/>
      <c r="BC48" s="6"/>
      <c r="BD48" s="6"/>
      <c r="BE48" s="6"/>
      <c r="BF48" s="6"/>
      <c r="BG48" s="10"/>
      <c r="BI48" s="6"/>
      <c r="BJ48" s="6"/>
      <c r="BK48" s="6"/>
      <c r="BL48" s="6"/>
      <c r="BM48" s="6"/>
      <c r="BN48" s="6"/>
      <c r="BO48" s="6"/>
      <c r="BP48" s="6"/>
      <c r="BQ48" s="6"/>
      <c r="BR48" s="6"/>
      <c r="BS48" s="6"/>
      <c r="BT48" s="6"/>
      <c r="BU48" s="10"/>
      <c r="BW48" s="6"/>
      <c r="BX48" s="6"/>
      <c r="BY48" s="6"/>
      <c r="BZ48" s="6"/>
      <c r="CA48" s="6"/>
      <c r="CB48" s="6"/>
      <c r="CC48" s="6"/>
      <c r="CD48" s="6"/>
      <c r="CE48" s="6"/>
      <c r="CF48" s="6"/>
      <c r="CG48" s="6"/>
      <c r="CH48" s="6"/>
      <c r="CI48" s="10"/>
    </row>
    <row r="49" spans="3:87" x14ac:dyDescent="0.25">
      <c r="C49" s="4" t="s">
        <v>26</v>
      </c>
      <c r="E49" s="6"/>
      <c r="F49" s="6"/>
      <c r="G49" s="6"/>
      <c r="H49" s="6"/>
      <c r="I49" s="6"/>
      <c r="J49" s="6"/>
      <c r="K49" s="6"/>
      <c r="L49" s="6"/>
      <c r="M49" s="6">
        <v>250</v>
      </c>
      <c r="N49" s="6">
        <v>250</v>
      </c>
      <c r="O49" s="6">
        <v>250</v>
      </c>
      <c r="P49" s="6">
        <v>0</v>
      </c>
      <c r="Q49" s="10">
        <f t="shared" si="20"/>
        <v>750</v>
      </c>
      <c r="S49" s="6">
        <v>0</v>
      </c>
      <c r="T49" s="6"/>
      <c r="U49" s="6"/>
      <c r="V49" s="6"/>
      <c r="W49" s="6"/>
      <c r="X49" s="6"/>
      <c r="Y49" s="6"/>
      <c r="Z49" s="6"/>
      <c r="AA49" s="6"/>
      <c r="AB49" s="6"/>
      <c r="AC49" s="6"/>
      <c r="AD49" s="6"/>
      <c r="AE49" s="10">
        <f t="shared" si="21"/>
        <v>0</v>
      </c>
      <c r="AG49" s="6"/>
      <c r="AH49" s="6"/>
      <c r="AI49" s="6"/>
      <c r="AJ49" s="6"/>
      <c r="AK49" s="6"/>
      <c r="AL49" s="6"/>
      <c r="AM49" s="6"/>
      <c r="AN49" s="6"/>
      <c r="AO49" s="6"/>
      <c r="AP49" s="6"/>
      <c r="AQ49" s="6"/>
      <c r="AR49" s="6"/>
      <c r="AS49" s="10">
        <f t="shared" si="22"/>
        <v>0</v>
      </c>
      <c r="AU49" s="6"/>
      <c r="AV49" s="6"/>
      <c r="AW49" s="6"/>
      <c r="AX49" s="6"/>
      <c r="AY49" s="6"/>
      <c r="AZ49" s="6"/>
      <c r="BA49" s="6"/>
      <c r="BB49" s="6"/>
      <c r="BC49" s="6"/>
      <c r="BD49" s="6"/>
      <c r="BE49" s="6"/>
      <c r="BF49" s="6"/>
      <c r="BG49" s="10">
        <f t="shared" si="23"/>
        <v>0</v>
      </c>
      <c r="BI49" s="6"/>
      <c r="BJ49" s="6"/>
      <c r="BK49" s="6"/>
      <c r="BL49" s="6"/>
      <c r="BM49" s="6"/>
      <c r="BN49" s="6"/>
      <c r="BO49" s="6"/>
      <c r="BP49" s="6"/>
      <c r="BQ49" s="6"/>
      <c r="BR49" s="6"/>
      <c r="BS49" s="6"/>
      <c r="BT49" s="6"/>
      <c r="BU49" s="10">
        <f t="shared" si="24"/>
        <v>0</v>
      </c>
      <c r="BW49" s="6"/>
      <c r="BX49" s="6"/>
      <c r="BY49" s="6"/>
      <c r="BZ49" s="6"/>
      <c r="CA49" s="6"/>
      <c r="CB49" s="6"/>
      <c r="CC49" s="6"/>
      <c r="CD49" s="6"/>
      <c r="CE49" s="6"/>
      <c r="CF49" s="6"/>
      <c r="CG49" s="6"/>
      <c r="CH49" s="6"/>
      <c r="CI49" s="10">
        <f t="shared" si="25"/>
        <v>0</v>
      </c>
    </row>
    <row r="50" spans="3:87" x14ac:dyDescent="0.25">
      <c r="C50" s="4" t="s">
        <v>27</v>
      </c>
      <c r="D50" s="5"/>
      <c r="E50" s="6"/>
      <c r="F50" s="6"/>
      <c r="G50" s="6"/>
      <c r="H50" s="6"/>
      <c r="I50" s="6"/>
      <c r="J50" s="6"/>
      <c r="K50" s="6"/>
      <c r="L50" s="6"/>
      <c r="M50" s="6"/>
      <c r="N50" s="6"/>
      <c r="O50" s="6"/>
      <c r="P50" s="6"/>
      <c r="Q50" s="10">
        <f t="shared" si="20"/>
        <v>0</v>
      </c>
      <c r="S50" s="6"/>
      <c r="T50" s="6"/>
      <c r="U50" s="6"/>
      <c r="V50" s="6"/>
      <c r="W50" s="6"/>
      <c r="X50" s="6"/>
      <c r="Y50" s="6"/>
      <c r="Z50" s="6"/>
      <c r="AA50" s="6"/>
      <c r="AB50" s="6"/>
      <c r="AC50" s="6"/>
      <c r="AD50" s="6"/>
      <c r="AE50" s="10">
        <f t="shared" si="21"/>
        <v>0</v>
      </c>
      <c r="AG50" s="6"/>
      <c r="AH50" s="6"/>
      <c r="AI50" s="6"/>
      <c r="AJ50" s="6"/>
      <c r="AK50" s="6"/>
      <c r="AL50" s="6"/>
      <c r="AM50" s="6"/>
      <c r="AN50" s="6"/>
      <c r="AO50" s="6"/>
      <c r="AP50" s="6"/>
      <c r="AQ50" s="6"/>
      <c r="AR50" s="6"/>
      <c r="AS50" s="10">
        <f t="shared" si="22"/>
        <v>0</v>
      </c>
      <c r="AU50" s="6"/>
      <c r="AV50" s="6"/>
      <c r="AW50" s="6"/>
      <c r="AX50" s="6"/>
      <c r="AY50" s="6"/>
      <c r="AZ50" s="6"/>
      <c r="BA50" s="6"/>
      <c r="BB50" s="6"/>
      <c r="BC50" s="6"/>
      <c r="BD50" s="6"/>
      <c r="BE50" s="6"/>
      <c r="BF50" s="6"/>
      <c r="BG50" s="10">
        <f t="shared" si="23"/>
        <v>0</v>
      </c>
      <c r="BI50" s="6"/>
      <c r="BJ50" s="6"/>
      <c r="BK50" s="6"/>
      <c r="BL50" s="6"/>
      <c r="BM50" s="6"/>
      <c r="BN50" s="6"/>
      <c r="BO50" s="6"/>
      <c r="BP50" s="6"/>
      <c r="BQ50" s="6"/>
      <c r="BR50" s="6"/>
      <c r="BS50" s="6"/>
      <c r="BT50" s="6"/>
      <c r="BU50" s="10">
        <f t="shared" si="24"/>
        <v>0</v>
      </c>
      <c r="BW50" s="6"/>
      <c r="BX50" s="6"/>
      <c r="BY50" s="6"/>
      <c r="BZ50" s="6"/>
      <c r="CA50" s="6"/>
      <c r="CB50" s="6"/>
      <c r="CC50" s="6"/>
      <c r="CD50" s="6"/>
      <c r="CE50" s="6"/>
      <c r="CF50" s="6"/>
      <c r="CG50" s="6"/>
      <c r="CH50" s="6"/>
      <c r="CI50" s="10">
        <f t="shared" si="25"/>
        <v>0</v>
      </c>
    </row>
    <row r="51" spans="3:87" x14ac:dyDescent="0.25">
      <c r="C51" s="4" t="s">
        <v>105</v>
      </c>
      <c r="D51" s="5"/>
      <c r="E51" s="6"/>
      <c r="F51" s="6"/>
      <c r="G51" s="6"/>
      <c r="H51" s="6"/>
      <c r="I51" s="6"/>
      <c r="J51" s="6"/>
      <c r="K51" s="6"/>
      <c r="L51" s="6"/>
      <c r="M51" s="6"/>
      <c r="N51" s="6"/>
      <c r="O51" s="6"/>
      <c r="P51" s="6"/>
      <c r="Q51" s="10">
        <f t="shared" si="20"/>
        <v>0</v>
      </c>
      <c r="S51" s="6">
        <v>8.0399999999999991</v>
      </c>
      <c r="T51" s="6"/>
      <c r="U51" s="6"/>
      <c r="V51" s="6"/>
      <c r="W51" s="6"/>
      <c r="X51" s="6"/>
      <c r="Y51" s="6"/>
      <c r="Z51" s="6"/>
      <c r="AA51" s="6"/>
      <c r="AB51" s="6"/>
      <c r="AC51" s="6"/>
      <c r="AD51" s="6"/>
      <c r="AE51" s="10">
        <f t="shared" si="21"/>
        <v>8.0399999999999991</v>
      </c>
      <c r="AG51" s="6"/>
      <c r="AH51" s="6"/>
      <c r="AI51" s="6"/>
      <c r="AJ51" s="6"/>
      <c r="AK51" s="6"/>
      <c r="AL51" s="6"/>
      <c r="AM51" s="6"/>
      <c r="AN51" s="6"/>
      <c r="AO51" s="6"/>
      <c r="AP51" s="6"/>
      <c r="AQ51" s="6"/>
      <c r="AR51" s="6"/>
      <c r="AS51" s="10">
        <f t="shared" si="22"/>
        <v>0</v>
      </c>
      <c r="AU51" s="6"/>
      <c r="AV51" s="6"/>
      <c r="AW51" s="6"/>
      <c r="AX51" s="6"/>
      <c r="AY51" s="6"/>
      <c r="AZ51" s="6"/>
      <c r="BA51" s="6"/>
      <c r="BB51" s="6"/>
      <c r="BC51" s="6"/>
      <c r="BD51" s="6"/>
      <c r="BE51" s="6"/>
      <c r="BF51" s="6"/>
      <c r="BG51" s="10">
        <f t="shared" si="23"/>
        <v>0</v>
      </c>
      <c r="BI51" s="6"/>
      <c r="BJ51" s="6"/>
      <c r="BK51" s="6"/>
      <c r="BL51" s="6"/>
      <c r="BM51" s="6"/>
      <c r="BN51" s="6"/>
      <c r="BO51" s="6"/>
      <c r="BP51" s="6"/>
      <c r="BQ51" s="6"/>
      <c r="BR51" s="6"/>
      <c r="BS51" s="6"/>
      <c r="BT51" s="6"/>
      <c r="BU51" s="10">
        <f t="shared" si="24"/>
        <v>0</v>
      </c>
      <c r="BW51" s="6"/>
      <c r="BX51" s="6"/>
      <c r="BY51" s="6"/>
      <c r="BZ51" s="6"/>
      <c r="CA51" s="6"/>
      <c r="CB51" s="6"/>
      <c r="CC51" s="6"/>
      <c r="CD51" s="6"/>
      <c r="CE51" s="6"/>
      <c r="CF51" s="6"/>
      <c r="CG51" s="6"/>
      <c r="CH51" s="6"/>
      <c r="CI51" s="10">
        <f t="shared" si="25"/>
        <v>0</v>
      </c>
    </row>
    <row r="52" spans="3:87" x14ac:dyDescent="0.25">
      <c r="C52" s="4" t="s">
        <v>177</v>
      </c>
      <c r="D52" s="5"/>
      <c r="E52" s="6"/>
      <c r="F52" s="6"/>
      <c r="G52" s="6"/>
      <c r="H52" s="6"/>
      <c r="I52" s="6"/>
      <c r="J52" s="6"/>
      <c r="K52" s="6"/>
      <c r="L52" s="6"/>
      <c r="M52" s="6"/>
      <c r="N52" s="6"/>
      <c r="O52" s="6"/>
      <c r="P52" s="6"/>
      <c r="Q52" s="10">
        <f t="shared" si="20"/>
        <v>0</v>
      </c>
      <c r="S52" s="6"/>
      <c r="T52" s="6"/>
      <c r="U52" s="6"/>
      <c r="V52" s="6"/>
      <c r="W52" s="6"/>
      <c r="X52" s="6"/>
      <c r="Y52" s="6"/>
      <c r="Z52" s="6"/>
      <c r="AA52" s="6"/>
      <c r="AB52" s="6"/>
      <c r="AC52" s="6"/>
      <c r="AD52" s="6"/>
      <c r="AE52" s="10">
        <f t="shared" si="21"/>
        <v>0</v>
      </c>
      <c r="AG52" s="6"/>
      <c r="AH52" s="6"/>
      <c r="AI52" s="6"/>
      <c r="AJ52" s="6"/>
      <c r="AK52" s="6"/>
      <c r="AL52" s="6"/>
      <c r="AM52" s="6"/>
      <c r="AN52" s="6"/>
      <c r="AO52" s="6"/>
      <c r="AP52" s="6"/>
      <c r="AQ52" s="6"/>
      <c r="AR52" s="6"/>
      <c r="AS52" s="10">
        <f t="shared" si="22"/>
        <v>0</v>
      </c>
      <c r="AU52" s="6"/>
      <c r="AV52" s="6"/>
      <c r="AW52" s="6"/>
      <c r="AX52" s="6"/>
      <c r="AY52" s="6"/>
      <c r="AZ52" s="6"/>
      <c r="BA52" s="6"/>
      <c r="BB52" s="6"/>
      <c r="BC52" s="6"/>
      <c r="BD52" s="6"/>
      <c r="BE52" s="6"/>
      <c r="BF52" s="6"/>
      <c r="BG52" s="10">
        <f t="shared" si="23"/>
        <v>0</v>
      </c>
      <c r="BI52" s="6"/>
      <c r="BJ52" s="6"/>
      <c r="BK52" s="6"/>
      <c r="BL52" s="6"/>
      <c r="BM52" s="6"/>
      <c r="BN52" s="6"/>
      <c r="BO52" s="6"/>
      <c r="BP52" s="6"/>
      <c r="BQ52" s="6"/>
      <c r="BR52" s="6"/>
      <c r="BS52" s="6"/>
      <c r="BT52" s="6"/>
      <c r="BU52" s="10">
        <f t="shared" si="24"/>
        <v>0</v>
      </c>
      <c r="BW52" s="6"/>
      <c r="BX52" s="6"/>
      <c r="BY52" s="6"/>
      <c r="BZ52" s="6"/>
      <c r="CA52" s="6"/>
      <c r="CB52" s="6"/>
      <c r="CC52" s="6"/>
      <c r="CD52" s="6"/>
      <c r="CE52" s="6"/>
      <c r="CF52" s="6"/>
      <c r="CG52" s="6"/>
      <c r="CH52" s="6"/>
      <c r="CI52" s="10">
        <f t="shared" si="25"/>
        <v>0</v>
      </c>
    </row>
    <row r="53" spans="3:87" x14ac:dyDescent="0.25">
      <c r="C53" s="4" t="s">
        <v>23</v>
      </c>
      <c r="D53" s="5"/>
      <c r="E53" s="6"/>
      <c r="F53" s="6"/>
      <c r="G53" s="6"/>
      <c r="H53" s="6"/>
      <c r="I53" s="6"/>
      <c r="J53" s="6"/>
      <c r="K53" s="6"/>
      <c r="L53" s="6"/>
      <c r="M53" s="6"/>
      <c r="N53" s="6"/>
      <c r="O53" s="6"/>
      <c r="P53" s="6"/>
      <c r="Q53" s="10">
        <f t="shared" si="20"/>
        <v>0</v>
      </c>
      <c r="S53" s="6"/>
      <c r="T53" s="6"/>
      <c r="U53" s="6"/>
      <c r="V53" s="6"/>
      <c r="W53" s="6"/>
      <c r="X53" s="6"/>
      <c r="Y53" s="6"/>
      <c r="Z53" s="6"/>
      <c r="AA53" s="6"/>
      <c r="AB53" s="6"/>
      <c r="AC53" s="6"/>
      <c r="AD53" s="6"/>
      <c r="AE53" s="10">
        <f t="shared" si="21"/>
        <v>0</v>
      </c>
      <c r="AG53" s="6"/>
      <c r="AH53" s="6"/>
      <c r="AI53" s="6"/>
      <c r="AJ53" s="6"/>
      <c r="AK53" s="6"/>
      <c r="AL53" s="6"/>
      <c r="AM53" s="6"/>
      <c r="AN53" s="6"/>
      <c r="AO53" s="6"/>
      <c r="AP53" s="6"/>
      <c r="AQ53" s="6"/>
      <c r="AR53" s="6"/>
      <c r="AS53" s="10">
        <f t="shared" si="22"/>
        <v>0</v>
      </c>
      <c r="AU53" s="6"/>
      <c r="AV53" s="6"/>
      <c r="AW53" s="6"/>
      <c r="AX53" s="6"/>
      <c r="AY53" s="6"/>
      <c r="AZ53" s="6"/>
      <c r="BA53" s="6"/>
      <c r="BB53" s="6"/>
      <c r="BC53" s="6"/>
      <c r="BD53" s="6"/>
      <c r="BE53" s="6"/>
      <c r="BF53" s="6"/>
      <c r="BG53" s="10">
        <f t="shared" si="23"/>
        <v>0</v>
      </c>
      <c r="BI53" s="6"/>
      <c r="BJ53" s="6"/>
      <c r="BK53" s="6"/>
      <c r="BL53" s="6"/>
      <c r="BM53" s="6"/>
      <c r="BN53" s="6"/>
      <c r="BO53" s="6"/>
      <c r="BP53" s="6"/>
      <c r="BQ53" s="6"/>
      <c r="BR53" s="6"/>
      <c r="BS53" s="6"/>
      <c r="BT53" s="6"/>
      <c r="BU53" s="10">
        <f t="shared" si="24"/>
        <v>0</v>
      </c>
      <c r="BW53" s="6"/>
      <c r="BX53" s="6"/>
      <c r="BY53" s="6"/>
      <c r="BZ53" s="6"/>
      <c r="CA53" s="6"/>
      <c r="CB53" s="6"/>
      <c r="CC53" s="6"/>
      <c r="CD53" s="6"/>
      <c r="CE53" s="6"/>
      <c r="CF53" s="6"/>
      <c r="CG53" s="6"/>
      <c r="CH53" s="6"/>
      <c r="CI53" s="10">
        <f t="shared" si="25"/>
        <v>0</v>
      </c>
    </row>
    <row r="54" spans="3:87" hidden="1" x14ac:dyDescent="0.25">
      <c r="C54" s="4" t="s">
        <v>23</v>
      </c>
      <c r="D54" s="5"/>
      <c r="E54" s="6"/>
      <c r="F54" s="6"/>
      <c r="G54" s="6"/>
      <c r="H54" s="6"/>
      <c r="I54" s="6"/>
      <c r="J54" s="6"/>
      <c r="K54" s="6"/>
      <c r="L54" s="6"/>
      <c r="M54" s="6"/>
      <c r="N54" s="6"/>
      <c r="O54" s="6"/>
      <c r="P54" s="6"/>
      <c r="Q54" s="10">
        <f t="shared" si="20"/>
        <v>0</v>
      </c>
      <c r="S54" s="6"/>
      <c r="T54" s="6"/>
      <c r="U54" s="6"/>
      <c r="V54" s="6"/>
      <c r="W54" s="6"/>
      <c r="X54" s="6"/>
      <c r="Y54" s="6"/>
      <c r="Z54" s="6"/>
      <c r="AA54" s="6"/>
      <c r="AB54" s="6"/>
      <c r="AC54" s="6"/>
      <c r="AD54" s="6"/>
      <c r="AE54" s="10">
        <f t="shared" si="21"/>
        <v>0</v>
      </c>
      <c r="AG54" s="6"/>
      <c r="AH54" s="6"/>
      <c r="AI54" s="6"/>
      <c r="AJ54" s="6"/>
      <c r="AK54" s="6"/>
      <c r="AL54" s="6"/>
      <c r="AM54" s="6"/>
      <c r="AN54" s="6"/>
      <c r="AO54" s="6"/>
      <c r="AP54" s="6"/>
      <c r="AQ54" s="6"/>
      <c r="AR54" s="6"/>
      <c r="AS54" s="10">
        <f t="shared" si="22"/>
        <v>0</v>
      </c>
      <c r="AU54" s="6"/>
      <c r="AV54" s="6"/>
      <c r="AW54" s="6"/>
      <c r="AX54" s="6"/>
      <c r="AY54" s="6"/>
      <c r="AZ54" s="6"/>
      <c r="BA54" s="6"/>
      <c r="BB54" s="6"/>
      <c r="BC54" s="6"/>
      <c r="BD54" s="6"/>
      <c r="BE54" s="6"/>
      <c r="BF54" s="6"/>
      <c r="BG54" s="10">
        <f t="shared" si="23"/>
        <v>0</v>
      </c>
      <c r="BI54" s="6"/>
      <c r="BJ54" s="6"/>
      <c r="BK54" s="6"/>
      <c r="BL54" s="6"/>
      <c r="BM54" s="6"/>
      <c r="BN54" s="6"/>
      <c r="BO54" s="6"/>
      <c r="BP54" s="6"/>
      <c r="BQ54" s="6"/>
      <c r="BR54" s="6"/>
      <c r="BS54" s="6"/>
      <c r="BT54" s="6"/>
      <c r="BU54" s="10">
        <f t="shared" si="24"/>
        <v>0</v>
      </c>
      <c r="BW54" s="6"/>
      <c r="BX54" s="6"/>
      <c r="BY54" s="6"/>
      <c r="BZ54" s="6"/>
      <c r="CA54" s="6"/>
      <c r="CB54" s="6"/>
      <c r="CC54" s="6"/>
      <c r="CD54" s="6"/>
      <c r="CE54" s="6"/>
      <c r="CF54" s="6"/>
      <c r="CG54" s="6"/>
      <c r="CH54" s="6"/>
      <c r="CI54" s="10">
        <f t="shared" si="25"/>
        <v>0</v>
      </c>
    </row>
    <row r="55" spans="3:87" hidden="1" x14ac:dyDescent="0.25">
      <c r="C55" s="4" t="s">
        <v>23</v>
      </c>
      <c r="D55" s="5"/>
      <c r="E55" s="6"/>
      <c r="F55" s="6"/>
      <c r="G55" s="6"/>
      <c r="H55" s="6"/>
      <c r="I55" s="6"/>
      <c r="J55" s="6"/>
      <c r="K55" s="6"/>
      <c r="L55" s="6"/>
      <c r="M55" s="6"/>
      <c r="N55" s="6"/>
      <c r="O55" s="6"/>
      <c r="P55" s="6"/>
      <c r="Q55" s="10">
        <f t="shared" si="20"/>
        <v>0</v>
      </c>
      <c r="S55" s="6"/>
      <c r="T55" s="6"/>
      <c r="U55" s="6"/>
      <c r="V55" s="6"/>
      <c r="W55" s="6"/>
      <c r="X55" s="6"/>
      <c r="Y55" s="6"/>
      <c r="Z55" s="6"/>
      <c r="AA55" s="6"/>
      <c r="AB55" s="6"/>
      <c r="AC55" s="6"/>
      <c r="AD55" s="6"/>
      <c r="AE55" s="10">
        <f t="shared" si="21"/>
        <v>0</v>
      </c>
      <c r="AG55" s="6"/>
      <c r="AH55" s="6"/>
      <c r="AI55" s="6"/>
      <c r="AJ55" s="6"/>
      <c r="AK55" s="6"/>
      <c r="AL55" s="6"/>
      <c r="AM55" s="6"/>
      <c r="AN55" s="6"/>
      <c r="AO55" s="6"/>
      <c r="AP55" s="6"/>
      <c r="AQ55" s="6"/>
      <c r="AR55" s="6"/>
      <c r="AS55" s="10">
        <f t="shared" si="22"/>
        <v>0</v>
      </c>
      <c r="AU55" s="6"/>
      <c r="AV55" s="6"/>
      <c r="AW55" s="6"/>
      <c r="AX55" s="6"/>
      <c r="AY55" s="6"/>
      <c r="AZ55" s="6"/>
      <c r="BA55" s="6"/>
      <c r="BB55" s="6"/>
      <c r="BC55" s="6"/>
      <c r="BD55" s="6"/>
      <c r="BE55" s="6"/>
      <c r="BF55" s="6"/>
      <c r="BG55" s="10">
        <f t="shared" si="23"/>
        <v>0</v>
      </c>
      <c r="BI55" s="6"/>
      <c r="BJ55" s="6"/>
      <c r="BK55" s="6"/>
      <c r="BL55" s="6"/>
      <c r="BM55" s="6"/>
      <c r="BN55" s="6"/>
      <c r="BO55" s="6"/>
      <c r="BP55" s="6"/>
      <c r="BQ55" s="6"/>
      <c r="BR55" s="6"/>
      <c r="BS55" s="6"/>
      <c r="BT55" s="6"/>
      <c r="BU55" s="10">
        <f t="shared" si="24"/>
        <v>0</v>
      </c>
      <c r="BW55" s="6"/>
      <c r="BX55" s="6"/>
      <c r="BY55" s="6"/>
      <c r="BZ55" s="6"/>
      <c r="CA55" s="6"/>
      <c r="CB55" s="6"/>
      <c r="CC55" s="6"/>
      <c r="CD55" s="6"/>
      <c r="CE55" s="6"/>
      <c r="CF55" s="6"/>
      <c r="CG55" s="6"/>
      <c r="CH55" s="6"/>
      <c r="CI55" s="10">
        <f t="shared" si="25"/>
        <v>0</v>
      </c>
    </row>
    <row r="56" spans="3:87" hidden="1" x14ac:dyDescent="0.25">
      <c r="C56" s="4" t="s">
        <v>23</v>
      </c>
      <c r="D56" s="5"/>
      <c r="E56" s="6"/>
      <c r="F56" s="6"/>
      <c r="G56" s="6"/>
      <c r="H56" s="6"/>
      <c r="I56" s="6"/>
      <c r="J56" s="6"/>
      <c r="K56" s="6"/>
      <c r="L56" s="6"/>
      <c r="M56" s="6"/>
      <c r="N56" s="6"/>
      <c r="O56" s="6"/>
      <c r="P56" s="6"/>
      <c r="Q56" s="10">
        <f t="shared" si="20"/>
        <v>0</v>
      </c>
      <c r="S56" s="6"/>
      <c r="T56" s="6"/>
      <c r="U56" s="6"/>
      <c r="V56" s="6"/>
      <c r="W56" s="6"/>
      <c r="X56" s="6"/>
      <c r="Y56" s="6"/>
      <c r="Z56" s="6"/>
      <c r="AA56" s="6"/>
      <c r="AB56" s="6"/>
      <c r="AC56" s="6"/>
      <c r="AD56" s="6"/>
      <c r="AE56" s="10">
        <f t="shared" si="21"/>
        <v>0</v>
      </c>
      <c r="AG56" s="6"/>
      <c r="AH56" s="6"/>
      <c r="AI56" s="6"/>
      <c r="AJ56" s="6"/>
      <c r="AK56" s="6"/>
      <c r="AL56" s="6"/>
      <c r="AM56" s="6"/>
      <c r="AN56" s="6"/>
      <c r="AO56" s="6"/>
      <c r="AP56" s="6"/>
      <c r="AQ56" s="6"/>
      <c r="AR56" s="6"/>
      <c r="AS56" s="10">
        <f t="shared" si="22"/>
        <v>0</v>
      </c>
      <c r="AU56" s="6"/>
      <c r="AV56" s="6"/>
      <c r="AW56" s="6"/>
      <c r="AX56" s="6"/>
      <c r="AY56" s="6"/>
      <c r="AZ56" s="6"/>
      <c r="BA56" s="6"/>
      <c r="BB56" s="6"/>
      <c r="BC56" s="6"/>
      <c r="BD56" s="6"/>
      <c r="BE56" s="6"/>
      <c r="BF56" s="6"/>
      <c r="BG56" s="10">
        <f t="shared" si="23"/>
        <v>0</v>
      </c>
      <c r="BI56" s="6"/>
      <c r="BJ56" s="6"/>
      <c r="BK56" s="6"/>
      <c r="BL56" s="6"/>
      <c r="BM56" s="6"/>
      <c r="BN56" s="6"/>
      <c r="BO56" s="6"/>
      <c r="BP56" s="6"/>
      <c r="BQ56" s="6"/>
      <c r="BR56" s="6"/>
      <c r="BS56" s="6"/>
      <c r="BT56" s="6"/>
      <c r="BU56" s="10">
        <f t="shared" si="24"/>
        <v>0</v>
      </c>
      <c r="BW56" s="6"/>
      <c r="BX56" s="6"/>
      <c r="BY56" s="6"/>
      <c r="BZ56" s="6"/>
      <c r="CA56" s="6"/>
      <c r="CB56" s="6"/>
      <c r="CC56" s="6"/>
      <c r="CD56" s="6"/>
      <c r="CE56" s="6"/>
      <c r="CF56" s="6"/>
      <c r="CG56" s="6"/>
      <c r="CH56" s="6"/>
      <c r="CI56" s="10">
        <f t="shared" si="25"/>
        <v>0</v>
      </c>
    </row>
    <row r="57" spans="3:87" hidden="1" x14ac:dyDescent="0.25">
      <c r="C57" s="4" t="s">
        <v>23</v>
      </c>
      <c r="D57" s="5"/>
      <c r="E57" s="6"/>
      <c r="F57" s="6"/>
      <c r="G57" s="6"/>
      <c r="H57" s="6"/>
      <c r="I57" s="6"/>
      <c r="J57" s="6"/>
      <c r="K57" s="6"/>
      <c r="L57" s="6"/>
      <c r="M57" s="6"/>
      <c r="N57" s="6"/>
      <c r="O57" s="6"/>
      <c r="P57" s="6"/>
      <c r="Q57" s="10">
        <f t="shared" si="20"/>
        <v>0</v>
      </c>
      <c r="S57" s="6"/>
      <c r="T57" s="6"/>
      <c r="U57" s="6"/>
      <c r="V57" s="6"/>
      <c r="W57" s="6"/>
      <c r="X57" s="6"/>
      <c r="Y57" s="6"/>
      <c r="Z57" s="6"/>
      <c r="AA57" s="6"/>
      <c r="AB57" s="6"/>
      <c r="AC57" s="6"/>
      <c r="AD57" s="6"/>
      <c r="AE57" s="10">
        <f t="shared" si="21"/>
        <v>0</v>
      </c>
      <c r="AG57" s="6"/>
      <c r="AH57" s="6"/>
      <c r="AI57" s="6"/>
      <c r="AJ57" s="6"/>
      <c r="AK57" s="6"/>
      <c r="AL57" s="6"/>
      <c r="AM57" s="6"/>
      <c r="AN57" s="6"/>
      <c r="AO57" s="6"/>
      <c r="AP57" s="6"/>
      <c r="AQ57" s="6"/>
      <c r="AR57" s="6"/>
      <c r="AS57" s="10">
        <f t="shared" si="22"/>
        <v>0</v>
      </c>
      <c r="AU57" s="6"/>
      <c r="AV57" s="6"/>
      <c r="AW57" s="6"/>
      <c r="AX57" s="6"/>
      <c r="AY57" s="6"/>
      <c r="AZ57" s="6"/>
      <c r="BA57" s="6"/>
      <c r="BB57" s="6"/>
      <c r="BC57" s="6"/>
      <c r="BD57" s="6"/>
      <c r="BE57" s="6"/>
      <c r="BF57" s="6"/>
      <c r="BG57" s="10">
        <f t="shared" si="23"/>
        <v>0</v>
      </c>
      <c r="BI57" s="6"/>
      <c r="BJ57" s="6"/>
      <c r="BK57" s="6"/>
      <c r="BL57" s="6"/>
      <c r="BM57" s="6"/>
      <c r="BN57" s="6"/>
      <c r="BO57" s="6"/>
      <c r="BP57" s="6"/>
      <c r="BQ57" s="6"/>
      <c r="BR57" s="6"/>
      <c r="BS57" s="6"/>
      <c r="BT57" s="6"/>
      <c r="BU57" s="10">
        <f t="shared" si="24"/>
        <v>0</v>
      </c>
      <c r="BW57" s="6"/>
      <c r="BX57" s="6"/>
      <c r="BY57" s="6"/>
      <c r="BZ57" s="6"/>
      <c r="CA57" s="6"/>
      <c r="CB57" s="6"/>
      <c r="CC57" s="6"/>
      <c r="CD57" s="6"/>
      <c r="CE57" s="6"/>
      <c r="CF57" s="6"/>
      <c r="CG57" s="6"/>
      <c r="CH57" s="6"/>
      <c r="CI57" s="10">
        <f t="shared" si="25"/>
        <v>0</v>
      </c>
    </row>
    <row r="58" spans="3:87" x14ac:dyDescent="0.25">
      <c r="C58" s="3" t="s">
        <v>6</v>
      </c>
      <c r="E58" s="9" cm="1">
        <f t="array" aca="1" ref="E58" ca="1">SUM(INDIRECT(ADDRESS(savings_min_row,COLUMN()) &amp; ":" &amp; ADDRESS(savings_max_row,COLUMN())))</f>
        <v>0</v>
      </c>
      <c r="F58" s="9" cm="1">
        <f t="array" aca="1" ref="F58" ca="1">SUM(INDIRECT(ADDRESS(savings_min_row,COLUMN()) &amp; ":" &amp; ADDRESS(savings_max_row,COLUMN())))</f>
        <v>0</v>
      </c>
      <c r="G58" s="9" cm="1">
        <f t="array" aca="1" ref="G58" ca="1">SUM(INDIRECT(ADDRESS(savings_min_row,COLUMN()) &amp; ":" &amp; ADDRESS(savings_max_row,COLUMN())))</f>
        <v>0</v>
      </c>
      <c r="H58" s="9" cm="1">
        <f t="array" aca="1" ref="H58" ca="1">SUM(INDIRECT(ADDRESS(savings_min_row,COLUMN()) &amp; ":" &amp; ADDRESS(savings_max_row,COLUMN())))</f>
        <v>0</v>
      </c>
      <c r="I58" s="9" cm="1">
        <f t="array" aca="1" ref="I58" ca="1">SUM(INDIRECT(ADDRESS(savings_min_row,COLUMN()) &amp; ":" &amp; ADDRESS(savings_max_row,COLUMN())))</f>
        <v>0</v>
      </c>
      <c r="J58" s="9" cm="1">
        <f t="array" aca="1" ref="J58" ca="1">SUM(INDIRECT(ADDRESS(savings_min_row,COLUMN()) &amp; ":" &amp; ADDRESS(savings_max_row,COLUMN())))</f>
        <v>0</v>
      </c>
      <c r="K58" s="9" cm="1">
        <f t="array" aca="1" ref="K58" ca="1">SUM(INDIRECT(ADDRESS(savings_min_row,COLUMN()) &amp; ":" &amp; ADDRESS(savings_max_row,COLUMN())))</f>
        <v>0</v>
      </c>
      <c r="L58" s="9" cm="1">
        <f t="array" aca="1" ref="L58" ca="1">SUM(INDIRECT(ADDRESS(savings_min_row,COLUMN()) &amp; ":" &amp; ADDRESS(savings_max_row,COLUMN())))</f>
        <v>0</v>
      </c>
      <c r="M58" s="9" cm="1">
        <f t="array" aca="1" ref="M58" ca="1">SUM(INDIRECT(ADDRESS(savings_min_row,COLUMN()) &amp; ":" &amp; ADDRESS(savings_max_row,COLUMN())))</f>
        <v>1250</v>
      </c>
      <c r="N58" s="9" cm="1">
        <f t="array" aca="1" ref="N58" ca="1">SUM(INDIRECT(ADDRESS(savings_min_row,COLUMN()) &amp; ":" &amp; ADDRESS(savings_max_row,COLUMN())))</f>
        <v>1250</v>
      </c>
      <c r="O58" s="9" cm="1">
        <f t="array" aca="1" ref="O58" ca="1">SUM(INDIRECT(ADDRESS(savings_min_row,COLUMN()) &amp; ":" &amp; ADDRESS(savings_max_row,COLUMN())))</f>
        <v>1250</v>
      </c>
      <c r="P58" s="9" cm="1">
        <f t="array" aca="1" ref="P58" ca="1">SUM(INDIRECT(ADDRESS(savings_min_row,COLUMN()) &amp; ":" &amp; ADDRESS(savings_max_row,COLUMN())))</f>
        <v>1381.25</v>
      </c>
      <c r="Q58" s="9" cm="1">
        <f t="array" aca="1" ref="Q58" ca="1">SUM(INDIRECT(ADDRESS(savings_min_row,COLUMN()) &amp; ":" &amp; ADDRESS(savings_max_row,COLUMN())))</f>
        <v>5131.25</v>
      </c>
      <c r="S58" s="9" cm="1">
        <f t="array" aca="1" ref="S58" ca="1">SUM(INDIRECT(ADDRESS(savings_min_row,COLUMN()) &amp; ":" &amp; ADDRESS(savings_max_row,COLUMN())))</f>
        <v>870.54</v>
      </c>
      <c r="T58" s="9" cm="1">
        <f t="array" aca="1" ref="T58" ca="1">SUM(INDIRECT(ADDRESS(savings_min_row,COLUMN()) &amp; ":" &amp; ADDRESS(savings_max_row,COLUMN())))</f>
        <v>254.167</v>
      </c>
      <c r="U58" s="9" cm="1">
        <f t="array" aca="1" ref="U58" ca="1">SUM(INDIRECT(ADDRESS(savings_min_row,COLUMN()) &amp; ":" &amp; ADDRESS(savings_max_row,COLUMN())))</f>
        <v>904.17</v>
      </c>
      <c r="V58" s="9" cm="1">
        <f t="array" aca="1" ref="V58" ca="1">SUM(INDIRECT(ADDRESS(savings_min_row,COLUMN()) &amp; ":" &amp; ADDRESS(savings_max_row,COLUMN())))</f>
        <v>904.17</v>
      </c>
      <c r="W58" s="9" cm="1">
        <f t="array" aca="1" ref="W58" ca="1">SUM(INDIRECT(ADDRESS(savings_min_row,COLUMN()) &amp; ":" &amp; ADDRESS(savings_max_row,COLUMN())))</f>
        <v>904.17</v>
      </c>
      <c r="X58" s="9" cm="1">
        <f t="array" aca="1" ref="X58" ca="1">SUM(INDIRECT(ADDRESS(savings_min_row,COLUMN()) &amp; ":" &amp; ADDRESS(savings_max_row,COLUMN())))</f>
        <v>904.17</v>
      </c>
      <c r="Y58" s="9" cm="1">
        <f t="array" aca="1" ref="Y58" ca="1">SUM(INDIRECT(ADDRESS(savings_min_row,COLUMN()) &amp; ":" &amp; ADDRESS(savings_max_row,COLUMN())))</f>
        <v>1104.17</v>
      </c>
      <c r="Z58" s="9" cm="1">
        <f t="array" aca="1" ref="Z58" ca="1">SUM(INDIRECT(ADDRESS(savings_min_row,COLUMN()) &amp; ":" &amp; ADDRESS(savings_max_row,COLUMN())))</f>
        <v>1104.17</v>
      </c>
      <c r="AA58" s="9" cm="1">
        <f t="array" aca="1" ref="AA58" ca="1">SUM(INDIRECT(ADDRESS(savings_min_row,COLUMN()) &amp; ":" &amp; ADDRESS(savings_max_row,COLUMN())))</f>
        <v>1104.17</v>
      </c>
      <c r="AB58" s="9" cm="1">
        <f t="array" aca="1" ref="AB58" ca="1">SUM(INDIRECT(ADDRESS(savings_min_row,COLUMN()) &amp; ":" &amp; ADDRESS(savings_max_row,COLUMN())))</f>
        <v>1104.17</v>
      </c>
      <c r="AC58" s="9" cm="1">
        <f t="array" aca="1" ref="AC58" ca="1">SUM(INDIRECT(ADDRESS(savings_min_row,COLUMN()) &amp; ":" &amp; ADDRESS(savings_max_row,COLUMN())))</f>
        <v>1104.17</v>
      </c>
      <c r="AD58" s="9" cm="1">
        <f t="array" aca="1" ref="AD58" ca="1">SUM(INDIRECT(ADDRESS(savings_min_row,COLUMN()) &amp; ":" &amp; ADDRESS(savings_max_row,COLUMN())))</f>
        <v>1104.17</v>
      </c>
      <c r="AE58" s="9" cm="1">
        <f t="array" aca="1" ref="AE58" ca="1">SUM(INDIRECT(ADDRESS(savings_min_row,COLUMN()) &amp; ":" &amp; ADDRESS(savings_max_row,COLUMN())))</f>
        <v>11366.407000000001</v>
      </c>
      <c r="AG58" s="9" cm="1">
        <f t="array" aca="1" ref="AG58" ca="1">SUM(INDIRECT(ADDRESS(savings_min_row,COLUMN()) &amp; ":" &amp; ADDRESS(savings_max_row,COLUMN())))</f>
        <v>1016.01</v>
      </c>
      <c r="AH58" s="9" cm="1">
        <f t="array" aca="1" ref="AH58" ca="1">SUM(INDIRECT(ADDRESS(savings_min_row,COLUMN()) &amp; ":" &amp; ADDRESS(savings_max_row,COLUMN())))</f>
        <v>1016.01</v>
      </c>
      <c r="AI58" s="9" cm="1">
        <f t="array" aca="1" ref="AI58" ca="1">SUM(INDIRECT(ADDRESS(savings_min_row,COLUMN()) &amp; ":" &amp; ADDRESS(savings_max_row,COLUMN())))</f>
        <v>1016.01</v>
      </c>
      <c r="AJ58" s="9" cm="1">
        <f t="array" aca="1" ref="AJ58" ca="1">SUM(INDIRECT(ADDRESS(savings_min_row,COLUMN()) &amp; ":" &amp; ADDRESS(savings_max_row,COLUMN())))</f>
        <v>1016.01</v>
      </c>
      <c r="AK58" s="9" cm="1">
        <f t="array" aca="1" ref="AK58" ca="1">SUM(INDIRECT(ADDRESS(savings_min_row,COLUMN()) &amp; ":" &amp; ADDRESS(savings_max_row,COLUMN())))</f>
        <v>1016.01</v>
      </c>
      <c r="AL58" s="9" cm="1">
        <f t="array" aca="1" ref="AL58" ca="1">SUM(INDIRECT(ADDRESS(savings_min_row,COLUMN()) &amp; ":" &amp; ADDRESS(savings_max_row,COLUMN())))</f>
        <v>1016.01</v>
      </c>
      <c r="AM58" s="9" cm="1">
        <f t="array" aca="1" ref="AM58" ca="1">SUM(INDIRECT(ADDRESS(savings_min_row,COLUMN()) &amp; ":" &amp; ADDRESS(savings_max_row,COLUMN())))</f>
        <v>1016.01</v>
      </c>
      <c r="AN58" s="9" cm="1">
        <f t="array" aca="1" ref="AN58" ca="1">SUM(INDIRECT(ADDRESS(savings_min_row,COLUMN()) &amp; ":" &amp; ADDRESS(savings_max_row,COLUMN())))</f>
        <v>1016.01</v>
      </c>
      <c r="AO58" s="9" cm="1">
        <f t="array" aca="1" ref="AO58" ca="1">SUM(INDIRECT(ADDRESS(savings_min_row,COLUMN()) &amp; ":" &amp; ADDRESS(savings_max_row,COLUMN())))</f>
        <v>1016.01</v>
      </c>
      <c r="AP58" s="9" cm="1">
        <f t="array" aca="1" ref="AP58" ca="1">SUM(INDIRECT(ADDRESS(savings_min_row,COLUMN()) &amp; ":" &amp; ADDRESS(savings_max_row,COLUMN())))</f>
        <v>1016.01</v>
      </c>
      <c r="AQ58" s="9" cm="1">
        <f t="array" aca="1" ref="AQ58" ca="1">SUM(INDIRECT(ADDRESS(savings_min_row,COLUMN()) &amp; ":" &amp; ADDRESS(savings_max_row,COLUMN())))</f>
        <v>1016.01</v>
      </c>
      <c r="AR58" s="9" cm="1">
        <f t="array" aca="1" ref="AR58" ca="1">SUM(INDIRECT(ADDRESS(savings_min_row,COLUMN()) &amp; ":" &amp; ADDRESS(savings_max_row,COLUMN())))</f>
        <v>1016.01</v>
      </c>
      <c r="AS58" s="9" cm="1">
        <f t="array" aca="1" ref="AS58" ca="1">SUM(INDIRECT(ADDRESS(savings_min_row,COLUMN()) &amp; ":" &amp; ADDRESS(savings_max_row,COLUMN())))</f>
        <v>12192.120000000003</v>
      </c>
      <c r="AU58" s="9" cm="1">
        <f t="array" aca="1" ref="AU58" ca="1">SUM(INDIRECT(ADDRESS(savings_min_row,COLUMN()) &amp; ":" &amp; ADDRESS(savings_max_row,COLUMN())))</f>
        <v>0</v>
      </c>
      <c r="AV58" s="9" cm="1">
        <f t="array" aca="1" ref="AV58" ca="1">SUM(INDIRECT(ADDRESS(savings_min_row,COLUMN()) &amp; ":" &amp; ADDRESS(savings_max_row,COLUMN())))</f>
        <v>0</v>
      </c>
      <c r="AW58" s="9" cm="1">
        <f t="array" aca="1" ref="AW58" ca="1">SUM(INDIRECT(ADDRESS(savings_min_row,COLUMN()) &amp; ":" &amp; ADDRESS(savings_max_row,COLUMN())))</f>
        <v>0</v>
      </c>
      <c r="AX58" s="9" cm="1">
        <f t="array" aca="1" ref="AX58" ca="1">SUM(INDIRECT(ADDRESS(savings_min_row,COLUMN()) &amp; ":" &amp; ADDRESS(savings_max_row,COLUMN())))</f>
        <v>0</v>
      </c>
      <c r="AY58" s="9" cm="1">
        <f t="array" aca="1" ref="AY58" ca="1">SUM(INDIRECT(ADDRESS(savings_min_row,COLUMN()) &amp; ":" &amp; ADDRESS(savings_max_row,COLUMN())))</f>
        <v>0</v>
      </c>
      <c r="AZ58" s="9" cm="1">
        <f t="array" aca="1" ref="AZ58" ca="1">SUM(INDIRECT(ADDRESS(savings_min_row,COLUMN()) &amp; ":" &amp; ADDRESS(savings_max_row,COLUMN())))</f>
        <v>0</v>
      </c>
      <c r="BA58" s="9" cm="1">
        <f t="array" aca="1" ref="BA58" ca="1">SUM(INDIRECT(ADDRESS(savings_min_row,COLUMN()) &amp; ":" &amp; ADDRESS(savings_max_row,COLUMN())))</f>
        <v>0</v>
      </c>
      <c r="BB58" s="9" cm="1">
        <f t="array" aca="1" ref="BB58" ca="1">SUM(INDIRECT(ADDRESS(savings_min_row,COLUMN()) &amp; ":" &amp; ADDRESS(savings_max_row,COLUMN())))</f>
        <v>0</v>
      </c>
      <c r="BC58" s="9" cm="1">
        <f t="array" aca="1" ref="BC58" ca="1">SUM(INDIRECT(ADDRESS(savings_min_row,COLUMN()) &amp; ":" &amp; ADDRESS(savings_max_row,COLUMN())))</f>
        <v>0</v>
      </c>
      <c r="BD58" s="9" cm="1">
        <f t="array" aca="1" ref="BD58" ca="1">SUM(INDIRECT(ADDRESS(savings_min_row,COLUMN()) &amp; ":" &amp; ADDRESS(savings_max_row,COLUMN())))</f>
        <v>0</v>
      </c>
      <c r="BE58" s="9" cm="1">
        <f t="array" aca="1" ref="BE58" ca="1">SUM(INDIRECT(ADDRESS(savings_min_row,COLUMN()) &amp; ":" &amp; ADDRESS(savings_max_row,COLUMN())))</f>
        <v>0</v>
      </c>
      <c r="BF58" s="9" cm="1">
        <f t="array" aca="1" ref="BF58" ca="1">SUM(INDIRECT(ADDRESS(savings_min_row,COLUMN()) &amp; ":" &amp; ADDRESS(savings_max_row,COLUMN())))</f>
        <v>0</v>
      </c>
      <c r="BG58" s="9" cm="1">
        <f t="array" aca="1" ref="BG58" ca="1">SUM(INDIRECT(ADDRESS(savings_min_row,COLUMN()) &amp; ":" &amp; ADDRESS(savings_max_row,COLUMN())))</f>
        <v>0</v>
      </c>
      <c r="BI58" s="9" cm="1">
        <f t="array" aca="1" ref="BI58" ca="1">SUM(INDIRECT(ADDRESS(savings_min_row,COLUMN()) &amp; ":" &amp; ADDRESS(savings_max_row,COLUMN())))</f>
        <v>0</v>
      </c>
      <c r="BJ58" s="9" cm="1">
        <f t="array" aca="1" ref="BJ58" ca="1">SUM(INDIRECT(ADDRESS(savings_min_row,COLUMN()) &amp; ":" &amp; ADDRESS(savings_max_row,COLUMN())))</f>
        <v>0</v>
      </c>
      <c r="BK58" s="9" cm="1">
        <f t="array" aca="1" ref="BK58" ca="1">SUM(INDIRECT(ADDRESS(savings_min_row,COLUMN()) &amp; ":" &amp; ADDRESS(savings_max_row,COLUMN())))</f>
        <v>0</v>
      </c>
      <c r="BL58" s="9" cm="1">
        <f t="array" aca="1" ref="BL58" ca="1">SUM(INDIRECT(ADDRESS(savings_min_row,COLUMN()) &amp; ":" &amp; ADDRESS(savings_max_row,COLUMN())))</f>
        <v>0</v>
      </c>
      <c r="BM58" s="9" cm="1">
        <f t="array" aca="1" ref="BM58" ca="1">SUM(INDIRECT(ADDRESS(savings_min_row,COLUMN()) &amp; ":" &amp; ADDRESS(savings_max_row,COLUMN())))</f>
        <v>0</v>
      </c>
      <c r="BN58" s="9" cm="1">
        <f t="array" aca="1" ref="BN58" ca="1">SUM(INDIRECT(ADDRESS(savings_min_row,COLUMN()) &amp; ":" &amp; ADDRESS(savings_max_row,COLUMN())))</f>
        <v>0</v>
      </c>
      <c r="BO58" s="9" cm="1">
        <f t="array" aca="1" ref="BO58" ca="1">SUM(INDIRECT(ADDRESS(savings_min_row,COLUMN()) &amp; ":" &amp; ADDRESS(savings_max_row,COLUMN())))</f>
        <v>0</v>
      </c>
      <c r="BP58" s="9" cm="1">
        <f t="array" aca="1" ref="BP58" ca="1">SUM(INDIRECT(ADDRESS(savings_min_row,COLUMN()) &amp; ":" &amp; ADDRESS(savings_max_row,COLUMN())))</f>
        <v>0</v>
      </c>
      <c r="BQ58" s="9" cm="1">
        <f t="array" aca="1" ref="BQ58" ca="1">SUM(INDIRECT(ADDRESS(savings_min_row,COLUMN()) &amp; ":" &amp; ADDRESS(savings_max_row,COLUMN())))</f>
        <v>0</v>
      </c>
      <c r="BR58" s="9" cm="1">
        <f t="array" aca="1" ref="BR58" ca="1">SUM(INDIRECT(ADDRESS(savings_min_row,COLUMN()) &amp; ":" &amp; ADDRESS(savings_max_row,COLUMN())))</f>
        <v>0</v>
      </c>
      <c r="BS58" s="9" cm="1">
        <f t="array" aca="1" ref="BS58" ca="1">SUM(INDIRECT(ADDRESS(savings_min_row,COLUMN()) &amp; ":" &amp; ADDRESS(savings_max_row,COLUMN())))</f>
        <v>0</v>
      </c>
      <c r="BT58" s="9" cm="1">
        <f t="array" aca="1" ref="BT58" ca="1">SUM(INDIRECT(ADDRESS(savings_min_row,COLUMN()) &amp; ":" &amp; ADDRESS(savings_max_row,COLUMN())))</f>
        <v>0</v>
      </c>
      <c r="BU58" s="9" cm="1">
        <f t="array" aca="1" ref="BU58" ca="1">SUM(INDIRECT(ADDRESS(savings_min_row,COLUMN()) &amp; ":" &amp; ADDRESS(savings_max_row,COLUMN())))</f>
        <v>0</v>
      </c>
      <c r="BW58" s="9" cm="1">
        <f t="array" aca="1" ref="BW58" ca="1">SUM(INDIRECT(ADDRESS(savings_min_row,COLUMN()) &amp; ":" &amp; ADDRESS(savings_max_row,COLUMN())))</f>
        <v>0</v>
      </c>
      <c r="BX58" s="9" cm="1">
        <f t="array" aca="1" ref="BX58" ca="1">SUM(INDIRECT(ADDRESS(savings_min_row,COLUMN()) &amp; ":" &amp; ADDRESS(savings_max_row,COLUMN())))</f>
        <v>0</v>
      </c>
      <c r="BY58" s="9" cm="1">
        <f t="array" aca="1" ref="BY58" ca="1">SUM(INDIRECT(ADDRESS(savings_min_row,COLUMN()) &amp; ":" &amp; ADDRESS(savings_max_row,COLUMN())))</f>
        <v>0</v>
      </c>
      <c r="BZ58" s="9" cm="1">
        <f t="array" aca="1" ref="BZ58" ca="1">SUM(INDIRECT(ADDRESS(savings_min_row,COLUMN()) &amp; ":" &amp; ADDRESS(savings_max_row,COLUMN())))</f>
        <v>0</v>
      </c>
      <c r="CA58" s="9" cm="1">
        <f t="array" aca="1" ref="CA58" ca="1">SUM(INDIRECT(ADDRESS(savings_min_row,COLUMN()) &amp; ":" &amp; ADDRESS(savings_max_row,COLUMN())))</f>
        <v>0</v>
      </c>
      <c r="CB58" s="9" cm="1">
        <f t="array" aca="1" ref="CB58" ca="1">SUM(INDIRECT(ADDRESS(savings_min_row,COLUMN()) &amp; ":" &amp; ADDRESS(savings_max_row,COLUMN())))</f>
        <v>0</v>
      </c>
      <c r="CC58" s="9" cm="1">
        <f t="array" aca="1" ref="CC58" ca="1">SUM(INDIRECT(ADDRESS(savings_min_row,COLUMN()) &amp; ":" &amp; ADDRESS(savings_max_row,COLUMN())))</f>
        <v>0</v>
      </c>
      <c r="CD58" s="9" cm="1">
        <f t="array" aca="1" ref="CD58" ca="1">SUM(INDIRECT(ADDRESS(savings_min_row,COLUMN()) &amp; ":" &amp; ADDRESS(savings_max_row,COLUMN())))</f>
        <v>0</v>
      </c>
      <c r="CE58" s="9" cm="1">
        <f t="array" aca="1" ref="CE58" ca="1">SUM(INDIRECT(ADDRESS(savings_min_row,COLUMN()) &amp; ":" &amp; ADDRESS(savings_max_row,COLUMN())))</f>
        <v>0</v>
      </c>
      <c r="CF58" s="9" cm="1">
        <f t="array" aca="1" ref="CF58" ca="1">SUM(INDIRECT(ADDRESS(savings_min_row,COLUMN()) &amp; ":" &amp; ADDRESS(savings_max_row,COLUMN())))</f>
        <v>0</v>
      </c>
      <c r="CG58" s="9" cm="1">
        <f t="array" aca="1" ref="CG58" ca="1">SUM(INDIRECT(ADDRESS(savings_min_row,COLUMN()) &amp; ":" &amp; ADDRESS(savings_max_row,COLUMN())))</f>
        <v>0</v>
      </c>
      <c r="CH58" s="9" cm="1">
        <f t="array" aca="1" ref="CH58" ca="1">SUM(INDIRECT(ADDRESS(savings_min_row,COLUMN()) &amp; ":" &amp; ADDRESS(savings_max_row,COLUMN())))</f>
        <v>0</v>
      </c>
      <c r="CI58" s="9" cm="1">
        <f t="array" aca="1" ref="CI58" ca="1">SUM(INDIRECT(ADDRESS(savings_min_row,COLUMN()) &amp; ":" &amp; ADDRESS(savings_max_row,COLUMN())))</f>
        <v>0</v>
      </c>
    </row>
  </sheetData>
  <mergeCells count="6">
    <mergeCell ref="BI5:BU5"/>
    <mergeCell ref="BW5:CI5"/>
    <mergeCell ref="E5:Q5"/>
    <mergeCell ref="S5:AE5"/>
    <mergeCell ref="AG5:AS5"/>
    <mergeCell ref="AU5:BG5"/>
  </mergeCells>
  <conditionalFormatting sqref="C10:C20 E10:Q20 S10:AE20 AG10:AS20 AU10:BG20 BI10:BU20 BW10:CI20">
    <cfRule type="expression" dxfId="16" priority="23">
      <formula>ROW(C10)&lt;=income_max_row</formula>
    </cfRule>
  </conditionalFormatting>
  <conditionalFormatting sqref="C24:C42 E24:Q42 S24:AE42 AG24:AS42 AU24:BG42 BI24:BU42 BW24:CI42">
    <cfRule type="expression" dxfId="15" priority="21">
      <formula>ROW(C24)&lt;=expenses_max_row</formula>
    </cfRule>
  </conditionalFormatting>
  <conditionalFormatting sqref="C46:C57 E46:Q57 S46:AE57 AG46:AS57 AU46:BG57 BI46:BU57 BW46:CI57">
    <cfRule type="expression" dxfId="14" priority="18">
      <formula>ROW(C46)&lt;=savings_max_row</formula>
    </cfRule>
  </conditionalFormatting>
  <conditionalFormatting sqref="E6:P7 S6:AD7 AG6:AR7 AU6:BF7 BI6:BT7 BW6:CH7">
    <cfRule type="expression" dxfId="13" priority="6" stopIfTrue="1">
      <formula>E$7=0</formula>
    </cfRule>
    <cfRule type="expression" dxfId="12" priority="7">
      <formula>E$7&lt;0</formula>
    </cfRule>
  </conditionalFormatting>
  <conditionalFormatting sqref="E6:Q7 S6:AE7 AG6:AS7 AU6:BG7 BI6:BU7 BW6:CI7">
    <cfRule type="expression" dxfId="11" priority="42" stopIfTrue="1">
      <formula>AND(E$21=0,E$43=0,E$58=0)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4009-D2B6-4A85-A17D-FEEFFDD93C2C}">
  <dimension ref="A1:J222"/>
  <sheetViews>
    <sheetView topLeftCell="A106" workbookViewId="0">
      <selection activeCell="D133" sqref="D133"/>
    </sheetView>
  </sheetViews>
  <sheetFormatPr defaultRowHeight="15" x14ac:dyDescent="0.25"/>
  <cols>
    <col min="1" max="1" width="8.140625" style="24" customWidth="1"/>
    <col min="2" max="2" width="22.140625" style="24" customWidth="1"/>
    <col min="3" max="3" width="18.5703125" style="24" customWidth="1"/>
    <col min="4" max="5" width="23.5703125" style="24" customWidth="1"/>
    <col min="6" max="6" width="115.5703125" style="24" bestFit="1" customWidth="1"/>
    <col min="7" max="7" width="12.5703125" style="24" bestFit="1" customWidth="1"/>
    <col min="8" max="8" width="33.42578125" style="24" bestFit="1" customWidth="1"/>
    <col min="9" max="9" width="1.42578125" style="24" customWidth="1"/>
    <col min="10" max="16384" width="9.140625" style="24"/>
  </cols>
  <sheetData>
    <row r="1" spans="1:9" s="20" customFormat="1" x14ac:dyDescent="0.25">
      <c r="A1" s="81" t="s">
        <v>28</v>
      </c>
      <c r="B1" s="81"/>
      <c r="C1" s="81"/>
      <c r="D1" s="81"/>
      <c r="E1" s="81"/>
    </row>
    <row r="2" spans="1:9" s="20" customFormat="1" x14ac:dyDescent="0.25">
      <c r="A2" s="81"/>
      <c r="B2" s="81"/>
      <c r="C2" s="81"/>
      <c r="D2" s="81"/>
      <c r="E2" s="81"/>
    </row>
    <row r="6" spans="1:9" x14ac:dyDescent="0.25">
      <c r="B6" s="73" t="s">
        <v>29</v>
      </c>
      <c r="C6" s="82" t="s">
        <v>30</v>
      </c>
      <c r="D6" s="82"/>
      <c r="E6" s="82"/>
      <c r="F6" s="82"/>
      <c r="G6" s="82"/>
      <c r="H6" s="82"/>
      <c r="I6" s="36"/>
    </row>
    <row r="7" spans="1:9" x14ac:dyDescent="0.25">
      <c r="H7" s="26"/>
    </row>
    <row r="8" spans="1:9" x14ac:dyDescent="0.25">
      <c r="B8" s="74">
        <f ca="1">Calculation!E8</f>
        <v>46072</v>
      </c>
      <c r="C8" s="74">
        <f>Calculation!E9</f>
        <v>46071</v>
      </c>
      <c r="D8" s="74" t="str">
        <f ca="1">Calculation!E10</f>
        <v>(1 days ago)</v>
      </c>
      <c r="E8" s="75">
        <f>COUNT(Tracking[Date])</f>
        <v>122</v>
      </c>
      <c r="F8" s="76"/>
      <c r="G8" s="77"/>
      <c r="H8" s="76"/>
    </row>
    <row r="11" spans="1:9" x14ac:dyDescent="0.25">
      <c r="B11" s="21" t="s">
        <v>31</v>
      </c>
      <c r="C11" s="21" t="s">
        <v>32</v>
      </c>
      <c r="D11" s="21" t="s">
        <v>77</v>
      </c>
      <c r="E11" s="21" t="s">
        <v>33</v>
      </c>
      <c r="F11" s="21" t="s">
        <v>34</v>
      </c>
      <c r="G11" s="22" t="s">
        <v>35</v>
      </c>
      <c r="H11" s="22" t="s">
        <v>36</v>
      </c>
    </row>
    <row r="12" spans="1:9" x14ac:dyDescent="0.25">
      <c r="B12" s="37">
        <v>46006</v>
      </c>
      <c r="C12" s="38" t="s">
        <v>24</v>
      </c>
      <c r="D12" s="38" t="s">
        <v>106</v>
      </c>
      <c r="E12" s="39">
        <v>381.25</v>
      </c>
      <c r="F12" s="38"/>
      <c r="G12" s="40" cm="1">
        <f t="array" ref="G12">SUMPRODUCT(Tracking[Amount],--(Tracking[Date]&lt;=Tracking[[#This Row],[Date]]),(Tracking[Type]&lt;&gt;"Income")*(-1) + (Tracking[Type]="Income"))</f>
        <v>-381.25</v>
      </c>
      <c r="H12" s="41" cm="1">
        <f t="array" ref="H12">IF(AND(Tracking[[#This Row],[Type]]="Income",shift_late_income_status="Active",DAY(Tracking[[#This Row],[Date]])&gt;=shift_late_income_starting_day),DATE(YEAR(Tracking[[#This Row],[Date]]),MONTH(Tracking[[#This Row],[Date]])+1,1),Tracking[[#This Row],[Date]])</f>
        <v>46006</v>
      </c>
    </row>
    <row r="13" spans="1:9" x14ac:dyDescent="0.25">
      <c r="B13" s="37">
        <v>46021</v>
      </c>
      <c r="C13" s="38" t="s">
        <v>1</v>
      </c>
      <c r="D13" s="38" t="s">
        <v>2</v>
      </c>
      <c r="E13" s="39">
        <v>2541.67</v>
      </c>
      <c r="F13" s="38"/>
      <c r="G13" s="40" cm="1">
        <f t="array" ref="G13">SUMPRODUCT(Tracking[Amount],--(Tracking[Date]&lt;=Tracking[[#This Row],[Date]]),(Tracking[Type]&lt;&gt;"Income")*(-1) + (Tracking[Type]="Income"))</f>
        <v>2160.42</v>
      </c>
      <c r="H13" s="41" cm="1">
        <f t="array" ref="H13">IF(AND(Tracking[[#This Row],[Type]]="Income",shift_late_income_status="Active",DAY(Tracking[[#This Row],[Date]])&gt;=shift_late_income_starting_day),DATE(YEAR(Tracking[[#This Row],[Date]]),MONTH(Tracking[[#This Row],[Date]])+1,1),Tracking[[#This Row],[Date]])</f>
        <v>46023</v>
      </c>
    </row>
    <row r="14" spans="1:9" x14ac:dyDescent="0.25">
      <c r="B14" s="37">
        <v>46023</v>
      </c>
      <c r="C14" s="38" t="s">
        <v>1</v>
      </c>
      <c r="D14" s="38" t="s">
        <v>102</v>
      </c>
      <c r="E14" s="39">
        <v>1790.41</v>
      </c>
      <c r="F14" s="38" t="s">
        <v>109</v>
      </c>
      <c r="G14" s="40" cm="1">
        <f t="array" ref="G14">SUMPRODUCT(Tracking[Amount],--(Tracking[Date]&lt;=Tracking[[#This Row],[Date]]),(Tracking[Type]&lt;&gt;"Income")*(-1) + (Tracking[Type]="Income"))</f>
        <v>415.70999999999981</v>
      </c>
      <c r="H14" s="41" cm="1">
        <f t="array" ref="H14">IF(AND(Tracking[[#This Row],[Type]]="Income",shift_late_income_status="Active",DAY(Tracking[[#This Row],[Date]])&gt;=shift_late_income_starting_day),DATE(YEAR(Tracking[[#This Row],[Date]]),MONTH(Tracking[[#This Row],[Date]])+1,1),Tracking[[#This Row],[Date]])</f>
        <v>46023</v>
      </c>
    </row>
    <row r="15" spans="1:9" x14ac:dyDescent="0.25">
      <c r="B15" s="37">
        <v>46023</v>
      </c>
      <c r="C15" s="38" t="s">
        <v>7</v>
      </c>
      <c r="D15" s="38" t="s">
        <v>10</v>
      </c>
      <c r="E15" s="39">
        <v>102.38</v>
      </c>
      <c r="F15" s="38"/>
      <c r="G15" s="40" cm="1">
        <f t="array" ref="G15">SUMPRODUCT(Tracking[Amount],--(Tracking[Date]&lt;=Tracking[[#This Row],[Date]]),(Tracking[Type]&lt;&gt;"Income")*(-1) + (Tracking[Type]="Income"))</f>
        <v>415.70999999999981</v>
      </c>
      <c r="H15" s="41" cm="1">
        <f t="array" ref="H15">IF(AND(Tracking[[#This Row],[Type]]="Income",shift_late_income_status="Active",DAY(Tracking[[#This Row],[Date]])&gt;=shift_late_income_starting_day),DATE(YEAR(Tracking[[#This Row],[Date]]),MONTH(Tracking[[#This Row],[Date]])+1,1),Tracking[[#This Row],[Date]])</f>
        <v>46023</v>
      </c>
    </row>
    <row r="16" spans="1:9" x14ac:dyDescent="0.25">
      <c r="B16" s="37">
        <v>46023</v>
      </c>
      <c r="C16" s="38" t="s">
        <v>7</v>
      </c>
      <c r="D16" s="38" t="s">
        <v>9</v>
      </c>
      <c r="E16" s="39">
        <v>373.51</v>
      </c>
      <c r="F16" s="38"/>
      <c r="G16" s="40" cm="1">
        <f t="array" ref="G16">SUMPRODUCT(Tracking[Amount],--(Tracking[Date]&lt;=Tracking[[#This Row],[Date]]),(Tracking[Type]&lt;&gt;"Income")*(-1) + (Tracking[Type]="Income"))</f>
        <v>415.70999999999981</v>
      </c>
      <c r="H16" s="41" cm="1">
        <f t="array" ref="H16">IF(AND(Tracking[[#This Row],[Type]]="Income",shift_late_income_status="Active",DAY(Tracking[[#This Row],[Date]])&gt;=shift_late_income_starting_day),DATE(YEAR(Tracking[[#This Row],[Date]]),MONTH(Tracking[[#This Row],[Date]])+1,1),Tracking[[#This Row],[Date]])</f>
        <v>46023</v>
      </c>
    </row>
    <row r="17" spans="2:8" x14ac:dyDescent="0.25">
      <c r="B17" s="37">
        <v>46023</v>
      </c>
      <c r="C17" s="38" t="s">
        <v>7</v>
      </c>
      <c r="D17" s="38" t="s">
        <v>14</v>
      </c>
      <c r="E17" s="39">
        <v>31.64</v>
      </c>
      <c r="F17" s="38" t="s">
        <v>13</v>
      </c>
      <c r="G17" s="40" cm="1">
        <f t="array" ref="G17">SUMPRODUCT(Tracking[Amount],--(Tracking[Date]&lt;=Tracking[[#This Row],[Date]]),(Tracking[Type]&lt;&gt;"Income")*(-1) + (Tracking[Type]="Income"))</f>
        <v>415.70999999999981</v>
      </c>
      <c r="H17" s="41" cm="1">
        <f t="array" ref="H17">IF(AND(Tracking[[#This Row],[Type]]="Income",shift_late_income_status="Active",DAY(Tracking[[#This Row],[Date]])&gt;=shift_late_income_starting_day),DATE(YEAR(Tracking[[#This Row],[Date]]),MONTH(Tracking[[#This Row],[Date]])+1,1),Tracking[[#This Row],[Date]])</f>
        <v>46023</v>
      </c>
    </row>
    <row r="18" spans="2:8" x14ac:dyDescent="0.25">
      <c r="B18" s="37">
        <v>46023</v>
      </c>
      <c r="C18" s="38" t="s">
        <v>7</v>
      </c>
      <c r="D18" s="38" t="s">
        <v>8</v>
      </c>
      <c r="E18" s="39">
        <v>1280</v>
      </c>
      <c r="F18" s="38"/>
      <c r="G18" s="40" cm="1">
        <f t="array" ref="G18">SUMPRODUCT(Tracking[Amount],--(Tracking[Date]&lt;=Tracking[[#This Row],[Date]]),(Tracking[Type]&lt;&gt;"Income")*(-1) + (Tracking[Type]="Income"))</f>
        <v>415.70999999999981</v>
      </c>
      <c r="H18" s="41" cm="1">
        <f t="array" ref="H18">IF(AND(Tracking[[#This Row],[Type]]="Income",shift_late_income_status="Active",DAY(Tracking[[#This Row],[Date]])&gt;=shift_late_income_starting_day),DATE(YEAR(Tracking[[#This Row],[Date]]),MONTH(Tracking[[#This Row],[Date]])+1,1),Tracking[[#This Row],[Date]])</f>
        <v>46023</v>
      </c>
    </row>
    <row r="19" spans="2:8" x14ac:dyDescent="0.25">
      <c r="B19" s="37">
        <v>46023</v>
      </c>
      <c r="C19" s="38" t="s">
        <v>7</v>
      </c>
      <c r="D19" s="38" t="s">
        <v>20</v>
      </c>
      <c r="E19" s="39">
        <v>418.02</v>
      </c>
      <c r="F19" s="38" t="s">
        <v>92</v>
      </c>
      <c r="G19" s="40" cm="1">
        <f t="array" ref="G19">SUMPRODUCT(Tracking[Amount],--(Tracking[Date]&lt;=Tracking[[#This Row],[Date]]),(Tracking[Type]&lt;&gt;"Income")*(-1) + (Tracking[Type]="Income"))</f>
        <v>415.70999999999981</v>
      </c>
      <c r="H19" s="41" cm="1">
        <f t="array" ref="H19">IF(AND(Tracking[[#This Row],[Type]]="Income",shift_late_income_status="Active",DAY(Tracking[[#This Row],[Date]])&gt;=shift_late_income_starting_day),DATE(YEAR(Tracking[[#This Row],[Date]]),MONTH(Tracking[[#This Row],[Date]])+1,1),Tracking[[#This Row],[Date]])</f>
        <v>46023</v>
      </c>
    </row>
    <row r="20" spans="2:8" x14ac:dyDescent="0.25">
      <c r="B20" s="37">
        <v>46023</v>
      </c>
      <c r="C20" s="38" t="s">
        <v>7</v>
      </c>
      <c r="D20" s="38" t="s">
        <v>20</v>
      </c>
      <c r="E20" s="39">
        <v>52.27</v>
      </c>
      <c r="F20" s="38" t="s">
        <v>94</v>
      </c>
      <c r="G20" s="40" cm="1">
        <f t="array" ref="G20">SUMPRODUCT(Tracking[Amount],--(Tracking[Date]&lt;=Tracking[[#This Row],[Date]]),(Tracking[Type]&lt;&gt;"Income")*(-1) + (Tracking[Type]="Income"))</f>
        <v>415.70999999999981</v>
      </c>
      <c r="H20" s="41" cm="1">
        <f t="array" ref="H20">IF(AND(Tracking[[#This Row],[Type]]="Income",shift_late_income_status="Active",DAY(Tracking[[#This Row],[Date]])&gt;=shift_late_income_starting_day),DATE(YEAR(Tracking[[#This Row],[Date]]),MONTH(Tracking[[#This Row],[Date]])+1,1),Tracking[[#This Row],[Date]])</f>
        <v>46023</v>
      </c>
    </row>
    <row r="21" spans="2:8" x14ac:dyDescent="0.25">
      <c r="B21" s="37">
        <v>46023</v>
      </c>
      <c r="C21" s="38" t="s">
        <v>7</v>
      </c>
      <c r="D21" s="38" t="s">
        <v>18</v>
      </c>
      <c r="E21" s="39">
        <v>35.03</v>
      </c>
      <c r="F21" s="38" t="s">
        <v>104</v>
      </c>
      <c r="G21" s="40" cm="1">
        <f t="array" ref="G21">SUMPRODUCT(Tracking[Amount],--(Tracking[Date]&lt;=Tracking[[#This Row],[Date]]),(Tracking[Type]&lt;&gt;"Income")*(-1) + (Tracking[Type]="Income"))</f>
        <v>415.70999999999981</v>
      </c>
      <c r="H21" s="41" cm="1">
        <f t="array" ref="H21">IF(AND(Tracking[[#This Row],[Type]]="Income",shift_late_income_status="Active",DAY(Tracking[[#This Row],[Date]])&gt;=shift_late_income_starting_day),DATE(YEAR(Tracking[[#This Row],[Date]]),MONTH(Tracking[[#This Row],[Date]])+1,1),Tracking[[#This Row],[Date]])</f>
        <v>46023</v>
      </c>
    </row>
    <row r="22" spans="2:8" x14ac:dyDescent="0.25">
      <c r="B22" s="37">
        <v>46023</v>
      </c>
      <c r="C22" s="38" t="s">
        <v>24</v>
      </c>
      <c r="D22" s="38" t="s">
        <v>107</v>
      </c>
      <c r="E22" s="39">
        <v>680</v>
      </c>
      <c r="F22" s="38"/>
      <c r="G22" s="40" cm="1">
        <f t="array" ref="G22">SUMPRODUCT(Tracking[Amount],--(Tracking[Date]&lt;=Tracking[[#This Row],[Date]]),(Tracking[Type]&lt;&gt;"Income")*(-1) + (Tracking[Type]="Income"))</f>
        <v>415.70999999999981</v>
      </c>
      <c r="H22" s="41" cm="1">
        <f t="array" ref="H22">IF(AND(Tracking[[#This Row],[Type]]="Income",shift_late_income_status="Active",DAY(Tracking[[#This Row],[Date]])&gt;=shift_late_income_starting_day),DATE(YEAR(Tracking[[#This Row],[Date]]),MONTH(Tracking[[#This Row],[Date]])+1,1),Tracking[[#This Row],[Date]])</f>
        <v>46023</v>
      </c>
    </row>
    <row r="23" spans="2:8" x14ac:dyDescent="0.25">
      <c r="B23" s="37">
        <v>46023</v>
      </c>
      <c r="C23" s="38" t="s">
        <v>24</v>
      </c>
      <c r="D23" s="38" t="s">
        <v>106</v>
      </c>
      <c r="E23" s="39">
        <v>381.25</v>
      </c>
      <c r="F23" s="38"/>
      <c r="G23" s="40" cm="1">
        <f t="array" ref="G23">SUMPRODUCT(Tracking[Amount],--(Tracking[Date]&lt;=Tracking[[#This Row],[Date]]),(Tracking[Type]&lt;&gt;"Income")*(-1) + (Tracking[Type]="Income"))</f>
        <v>415.70999999999981</v>
      </c>
      <c r="H23" s="41" cm="1">
        <f t="array" ref="H23">IF(AND(Tracking[[#This Row],[Type]]="Income",shift_late_income_status="Active",DAY(Tracking[[#This Row],[Date]])&gt;=shift_late_income_starting_day),DATE(YEAR(Tracking[[#This Row],[Date]]),MONTH(Tracking[[#This Row],[Date]])+1,1),Tracking[[#This Row],[Date]])</f>
        <v>46023</v>
      </c>
    </row>
    <row r="24" spans="2:8" x14ac:dyDescent="0.25">
      <c r="B24" s="37">
        <v>46023</v>
      </c>
      <c r="C24" s="38" t="s">
        <v>7</v>
      </c>
      <c r="D24" s="38" t="s">
        <v>12</v>
      </c>
      <c r="E24" s="39">
        <v>161.02000000000001</v>
      </c>
      <c r="F24" s="38"/>
      <c r="G24" s="40" cm="1">
        <f t="array" ref="G24">SUMPRODUCT(Tracking[Amount],--(Tracking[Date]&lt;=Tracking[[#This Row],[Date]]),(Tracking[Type]&lt;&gt;"Income")*(-1) + (Tracking[Type]="Income"))</f>
        <v>415.70999999999981</v>
      </c>
      <c r="H24" s="41" cm="1">
        <f t="array" ref="H24">IF(AND(Tracking[[#This Row],[Type]]="Income",shift_late_income_status="Active",DAY(Tracking[[#This Row],[Date]])&gt;=shift_late_income_starting_day),DATE(YEAR(Tracking[[#This Row],[Date]]),MONTH(Tracking[[#This Row],[Date]])+1,1),Tracking[[#This Row],[Date]])</f>
        <v>46023</v>
      </c>
    </row>
    <row r="25" spans="2:8" x14ac:dyDescent="0.25">
      <c r="B25" s="37">
        <v>46023</v>
      </c>
      <c r="C25" s="38" t="s">
        <v>7</v>
      </c>
      <c r="D25" s="38" t="s">
        <v>20</v>
      </c>
      <c r="E25" s="39">
        <v>20</v>
      </c>
      <c r="F25" s="38" t="s">
        <v>108</v>
      </c>
      <c r="G25" s="40" cm="1">
        <f t="array" ref="G25">SUMPRODUCT(Tracking[Amount],--(Tracking[Date]&lt;=Tracking[[#This Row],[Date]]),(Tracking[Type]&lt;&gt;"Income")*(-1) + (Tracking[Type]="Income"))</f>
        <v>415.70999999999981</v>
      </c>
      <c r="H25" s="41" cm="1">
        <f t="array" ref="H25">IF(AND(Tracking[[#This Row],[Type]]="Income",shift_late_income_status="Active",DAY(Tracking[[#This Row],[Date]])&gt;=shift_late_income_starting_day),DATE(YEAR(Tracking[[#This Row],[Date]]),MONTH(Tracking[[#This Row],[Date]])+1,1),Tracking[[#This Row],[Date]])</f>
        <v>46023</v>
      </c>
    </row>
    <row r="26" spans="2:8" x14ac:dyDescent="0.25">
      <c r="B26" s="37">
        <v>46024</v>
      </c>
      <c r="C26" s="38" t="s">
        <v>7</v>
      </c>
      <c r="D26" s="38" t="s">
        <v>19</v>
      </c>
      <c r="E26" s="39">
        <v>11.99</v>
      </c>
      <c r="F26" s="38" t="s">
        <v>91</v>
      </c>
      <c r="G26" s="40" cm="1">
        <f t="array" ref="G26">SUMPRODUCT(Tracking[Amount],--(Tracking[Date]&lt;=Tracking[[#This Row],[Date]]),(Tracking[Type]&lt;&gt;"Income")*(-1) + (Tracking[Type]="Income"))</f>
        <v>357.44999999999982</v>
      </c>
      <c r="H26" s="41" cm="1">
        <f t="array" ref="H26">IF(AND(Tracking[[#This Row],[Type]]="Income",shift_late_income_status="Active",DAY(Tracking[[#This Row],[Date]])&gt;=shift_late_income_starting_day),DATE(YEAR(Tracking[[#This Row],[Date]]),MONTH(Tracking[[#This Row],[Date]])+1,1),Tracking[[#This Row],[Date]])</f>
        <v>46024</v>
      </c>
    </row>
    <row r="27" spans="2:8" x14ac:dyDescent="0.25">
      <c r="B27" s="37">
        <v>46024</v>
      </c>
      <c r="C27" s="38" t="s">
        <v>7</v>
      </c>
      <c r="D27" s="38" t="s">
        <v>15</v>
      </c>
      <c r="E27" s="39">
        <v>1.94</v>
      </c>
      <c r="F27" s="38" t="s">
        <v>93</v>
      </c>
      <c r="G27" s="40" cm="1">
        <f t="array" ref="G27">SUMPRODUCT(Tracking[Amount],--(Tracking[Date]&lt;=Tracking[[#This Row],[Date]]),(Tracking[Type]&lt;&gt;"Income")*(-1) + (Tracking[Type]="Income"))</f>
        <v>357.44999999999982</v>
      </c>
      <c r="H27" s="41" cm="1">
        <f t="array" ref="H27">IF(AND(Tracking[[#This Row],[Type]]="Income",shift_late_income_status="Active",DAY(Tracking[[#This Row],[Date]])&gt;=shift_late_income_starting_day),DATE(YEAR(Tracking[[#This Row],[Date]]),MONTH(Tracking[[#This Row],[Date]])+1,1),Tracking[[#This Row],[Date]])</f>
        <v>46024</v>
      </c>
    </row>
    <row r="28" spans="2:8" x14ac:dyDescent="0.25">
      <c r="B28" s="37">
        <v>46024</v>
      </c>
      <c r="C28" s="38" t="s">
        <v>7</v>
      </c>
      <c r="D28" s="38" t="s">
        <v>18</v>
      </c>
      <c r="E28" s="39">
        <v>20</v>
      </c>
      <c r="F28" s="38"/>
      <c r="G28" s="40" cm="1">
        <f t="array" ref="G28">SUMPRODUCT(Tracking[Amount],--(Tracking[Date]&lt;=Tracking[[#This Row],[Date]]),(Tracking[Type]&lt;&gt;"Income")*(-1) + (Tracking[Type]="Income"))</f>
        <v>357.44999999999982</v>
      </c>
      <c r="H28" s="41" cm="1">
        <f t="array" ref="H28">IF(AND(Tracking[[#This Row],[Type]]="Income",shift_late_income_status="Active",DAY(Tracking[[#This Row],[Date]])&gt;=shift_late_income_starting_day),DATE(YEAR(Tracking[[#This Row],[Date]]),MONTH(Tracking[[#This Row],[Date]])+1,1),Tracking[[#This Row],[Date]])</f>
        <v>46024</v>
      </c>
    </row>
    <row r="29" spans="2:8" x14ac:dyDescent="0.25">
      <c r="B29" s="37">
        <v>46024</v>
      </c>
      <c r="C29" s="38" t="s">
        <v>7</v>
      </c>
      <c r="D29" s="38" t="s">
        <v>18</v>
      </c>
      <c r="E29" s="39">
        <v>17.84</v>
      </c>
      <c r="F29" s="38" t="s">
        <v>95</v>
      </c>
      <c r="G29" s="40" cm="1">
        <f t="array" ref="G29">SUMPRODUCT(Tracking[Amount],--(Tracking[Date]&lt;=Tracking[[#This Row],[Date]]),(Tracking[Type]&lt;&gt;"Income")*(-1) + (Tracking[Type]="Income"))</f>
        <v>357.44999999999982</v>
      </c>
      <c r="H29" s="41" cm="1">
        <f t="array" ref="H29">IF(AND(Tracking[[#This Row],[Type]]="Income",shift_late_income_status="Active",DAY(Tracking[[#This Row],[Date]])&gt;=shift_late_income_starting_day),DATE(YEAR(Tracking[[#This Row],[Date]]),MONTH(Tracking[[#This Row],[Date]])+1,1),Tracking[[#This Row],[Date]])</f>
        <v>46024</v>
      </c>
    </row>
    <row r="30" spans="2:8" x14ac:dyDescent="0.25">
      <c r="B30" s="37">
        <v>46024</v>
      </c>
      <c r="C30" s="38" t="s">
        <v>7</v>
      </c>
      <c r="D30" s="38" t="s">
        <v>18</v>
      </c>
      <c r="E30" s="39">
        <v>6.49</v>
      </c>
      <c r="F30" s="38" t="s">
        <v>96</v>
      </c>
      <c r="G30" s="40" cm="1">
        <f t="array" ref="G30">SUMPRODUCT(Tracking[Amount],--(Tracking[Date]&lt;=Tracking[[#This Row],[Date]]),(Tracking[Type]&lt;&gt;"Income")*(-1) + (Tracking[Type]="Income"))</f>
        <v>357.44999999999982</v>
      </c>
      <c r="H30" s="41" cm="1">
        <f t="array" ref="H30">IF(AND(Tracking[[#This Row],[Type]]="Income",shift_late_income_status="Active",DAY(Tracking[[#This Row],[Date]])&gt;=shift_late_income_starting_day),DATE(YEAR(Tracking[[#This Row],[Date]]),MONTH(Tracking[[#This Row],[Date]])+1,1),Tracking[[#This Row],[Date]])</f>
        <v>46024</v>
      </c>
    </row>
    <row r="31" spans="2:8" x14ac:dyDescent="0.25">
      <c r="B31" s="37">
        <v>46025</v>
      </c>
      <c r="C31" s="38" t="s">
        <v>7</v>
      </c>
      <c r="D31" s="38" t="s">
        <v>18</v>
      </c>
      <c r="E31" s="39">
        <v>20.27</v>
      </c>
      <c r="F31" s="38" t="s">
        <v>97</v>
      </c>
      <c r="G31" s="40" cm="1">
        <f t="array" ref="G31">SUMPRODUCT(Tracking[Amount],--(Tracking[Date]&lt;=Tracking[[#This Row],[Date]]),(Tracking[Type]&lt;&gt;"Income")*(-1) + (Tracking[Type]="Income"))</f>
        <v>259.72999999999985</v>
      </c>
      <c r="H31" s="41" cm="1">
        <f t="array" ref="H31">IF(AND(Tracking[[#This Row],[Type]]="Income",shift_late_income_status="Active",DAY(Tracking[[#This Row],[Date]])&gt;=shift_late_income_starting_day),DATE(YEAR(Tracking[[#This Row],[Date]]),MONTH(Tracking[[#This Row],[Date]])+1,1),Tracking[[#This Row],[Date]])</f>
        <v>46025</v>
      </c>
    </row>
    <row r="32" spans="2:8" x14ac:dyDescent="0.25">
      <c r="B32" s="37">
        <v>46025</v>
      </c>
      <c r="C32" s="38" t="s">
        <v>7</v>
      </c>
      <c r="D32" s="38" t="s">
        <v>20</v>
      </c>
      <c r="E32" s="39">
        <v>55</v>
      </c>
      <c r="F32" s="38" t="s">
        <v>98</v>
      </c>
      <c r="G32" s="40" cm="1">
        <f t="array" ref="G32">SUMPRODUCT(Tracking[Amount],--(Tracking[Date]&lt;=Tracking[[#This Row],[Date]]),(Tracking[Type]&lt;&gt;"Income")*(-1) + (Tracking[Type]="Income"))</f>
        <v>259.72999999999985</v>
      </c>
      <c r="H32" s="41" cm="1">
        <f t="array" ref="H32">IF(AND(Tracking[[#This Row],[Type]]="Income",shift_late_income_status="Active",DAY(Tracking[[#This Row],[Date]])&gt;=shift_late_income_starting_day),DATE(YEAR(Tracking[[#This Row],[Date]]),MONTH(Tracking[[#This Row],[Date]])+1,1),Tracking[[#This Row],[Date]])</f>
        <v>46025</v>
      </c>
    </row>
    <row r="33" spans="2:8" x14ac:dyDescent="0.25">
      <c r="B33" s="37">
        <v>46025</v>
      </c>
      <c r="C33" s="38" t="s">
        <v>7</v>
      </c>
      <c r="D33" s="38" t="s">
        <v>18</v>
      </c>
      <c r="E33" s="39">
        <v>22.45</v>
      </c>
      <c r="F33" s="38" t="s">
        <v>99</v>
      </c>
      <c r="G33" s="40" cm="1">
        <f t="array" ref="G33">SUMPRODUCT(Tracking[Amount],--(Tracking[Date]&lt;=Tracking[[#This Row],[Date]]),(Tracking[Type]&lt;&gt;"Income")*(-1) + (Tracking[Type]="Income"))</f>
        <v>259.72999999999985</v>
      </c>
      <c r="H33" s="41" cm="1">
        <f t="array" ref="H33">IF(AND(Tracking[[#This Row],[Type]]="Income",shift_late_income_status="Active",DAY(Tracking[[#This Row],[Date]])&gt;=shift_late_income_starting_day),DATE(YEAR(Tracking[[#This Row],[Date]]),MONTH(Tracking[[#This Row],[Date]])+1,1),Tracking[[#This Row],[Date]])</f>
        <v>46025</v>
      </c>
    </row>
    <row r="34" spans="2:8" x14ac:dyDescent="0.25">
      <c r="B34" s="37">
        <v>46026</v>
      </c>
      <c r="C34" s="38" t="s">
        <v>7</v>
      </c>
      <c r="D34" s="38" t="s">
        <v>16</v>
      </c>
      <c r="E34" s="39">
        <v>10</v>
      </c>
      <c r="F34" s="38" t="s">
        <v>100</v>
      </c>
      <c r="G34" s="40" cm="1">
        <f t="array" ref="G34">SUMPRODUCT(Tracking[Amount],--(Tracking[Date]&lt;=Tracking[[#This Row],[Date]]),(Tracking[Type]&lt;&gt;"Income")*(-1) + (Tracking[Type]="Income"))</f>
        <v>212.23999999999984</v>
      </c>
      <c r="H34" s="41" cm="1">
        <f t="array" ref="H34">IF(AND(Tracking[[#This Row],[Type]]="Income",shift_late_income_status="Active",DAY(Tracking[[#This Row],[Date]])&gt;=shift_late_income_starting_day),DATE(YEAR(Tracking[[#This Row],[Date]]),MONTH(Tracking[[#This Row],[Date]])+1,1),Tracking[[#This Row],[Date]])</f>
        <v>46026</v>
      </c>
    </row>
    <row r="35" spans="2:8" x14ac:dyDescent="0.25">
      <c r="B35" s="37">
        <v>46026</v>
      </c>
      <c r="C35" s="38" t="s">
        <v>7</v>
      </c>
      <c r="D35" s="38" t="s">
        <v>19</v>
      </c>
      <c r="E35" s="39">
        <v>9.99</v>
      </c>
      <c r="F35" s="38" t="s">
        <v>101</v>
      </c>
      <c r="G35" s="40" cm="1">
        <f t="array" ref="G35">SUMPRODUCT(Tracking[Amount],--(Tracking[Date]&lt;=Tracking[[#This Row],[Date]]),(Tracking[Type]&lt;&gt;"Income")*(-1) + (Tracking[Type]="Income"))</f>
        <v>212.23999999999984</v>
      </c>
      <c r="H35" s="41" cm="1">
        <f t="array" ref="H35">IF(AND(Tracking[[#This Row],[Type]]="Income",shift_late_income_status="Active",DAY(Tracking[[#This Row],[Date]])&gt;=shift_late_income_starting_day),DATE(YEAR(Tracking[[#This Row],[Date]]),MONTH(Tracking[[#This Row],[Date]])+1,1),Tracking[[#This Row],[Date]])</f>
        <v>46026</v>
      </c>
    </row>
    <row r="36" spans="2:8" x14ac:dyDescent="0.25">
      <c r="B36" s="37">
        <v>46026</v>
      </c>
      <c r="C36" s="38" t="s">
        <v>7</v>
      </c>
      <c r="D36" s="38" t="s">
        <v>20</v>
      </c>
      <c r="E36" s="39">
        <v>27.5</v>
      </c>
      <c r="F36" s="38" t="s">
        <v>103</v>
      </c>
      <c r="G36" s="40" cm="1">
        <f t="array" ref="G36">SUMPRODUCT(Tracking[Amount],--(Tracking[Date]&lt;=Tracking[[#This Row],[Date]]),(Tracking[Type]&lt;&gt;"Income")*(-1) + (Tracking[Type]="Income"))</f>
        <v>212.23999999999984</v>
      </c>
      <c r="H36" s="41" cm="1">
        <f t="array" ref="H36">IF(AND(Tracking[[#This Row],[Type]]="Income",shift_late_income_status="Active",DAY(Tracking[[#This Row],[Date]])&gt;=shift_late_income_starting_day),DATE(YEAR(Tracking[[#This Row],[Date]]),MONTH(Tracking[[#This Row],[Date]])+1,1),Tracking[[#This Row],[Date]])</f>
        <v>46026</v>
      </c>
    </row>
    <row r="37" spans="2:8" x14ac:dyDescent="0.25">
      <c r="B37" s="37">
        <v>46027</v>
      </c>
      <c r="C37" s="38" t="s">
        <v>7</v>
      </c>
      <c r="D37" s="38" t="s">
        <v>18</v>
      </c>
      <c r="E37" s="39">
        <v>26.05</v>
      </c>
      <c r="F37" s="38" t="s">
        <v>110</v>
      </c>
      <c r="G37" s="40" cm="1">
        <f t="array" ref="G37">SUMPRODUCT(Tracking[Amount],--(Tracking[Date]&lt;=Tracking[[#This Row],[Date]]),(Tracking[Type]&lt;&gt;"Income")*(-1) + (Tracking[Type]="Income"))</f>
        <v>186.18999999999983</v>
      </c>
      <c r="H37" s="41" cm="1">
        <f t="array" ref="H37">IF(AND(Tracking[[#This Row],[Type]]="Income",shift_late_income_status="Active",DAY(Tracking[[#This Row],[Date]])&gt;=shift_late_income_starting_day),DATE(YEAR(Tracking[[#This Row],[Date]]),MONTH(Tracking[[#This Row],[Date]])+1,1),Tracking[[#This Row],[Date]])</f>
        <v>46027</v>
      </c>
    </row>
    <row r="38" spans="2:8" x14ac:dyDescent="0.25">
      <c r="B38" s="37">
        <v>46028</v>
      </c>
      <c r="C38" s="38" t="s">
        <v>7</v>
      </c>
      <c r="D38" s="38" t="s">
        <v>19</v>
      </c>
      <c r="E38" s="39">
        <v>7.49</v>
      </c>
      <c r="F38" s="38" t="s">
        <v>111</v>
      </c>
      <c r="G38" s="40" cm="1">
        <f t="array" ref="G38">SUMPRODUCT(Tracking[Amount],--(Tracking[Date]&lt;=Tracking[[#This Row],[Date]]),(Tracking[Type]&lt;&gt;"Income")*(-1) + (Tracking[Type]="Income"))</f>
        <v>158.63999999999984</v>
      </c>
      <c r="H38" s="41" cm="1">
        <f t="array" ref="H38">IF(AND(Tracking[[#This Row],[Type]]="Income",shift_late_income_status="Active",DAY(Tracking[[#This Row],[Date]])&gt;=shift_late_income_starting_day),DATE(YEAR(Tracking[[#This Row],[Date]]),MONTH(Tracking[[#This Row],[Date]])+1,1),Tracking[[#This Row],[Date]])</f>
        <v>46028</v>
      </c>
    </row>
    <row r="39" spans="2:8" x14ac:dyDescent="0.25">
      <c r="B39" s="37">
        <v>46028</v>
      </c>
      <c r="C39" s="38" t="s">
        <v>1</v>
      </c>
      <c r="D39" s="38" t="s">
        <v>4</v>
      </c>
      <c r="E39" s="39">
        <v>31.86</v>
      </c>
      <c r="F39" s="38" t="s">
        <v>112</v>
      </c>
      <c r="G39" s="40" cm="1">
        <f t="array" ref="G39">SUMPRODUCT(Tracking[Amount],--(Tracking[Date]&lt;=Tracking[[#This Row],[Date]]),(Tracking[Type]&lt;&gt;"Income")*(-1) + (Tracking[Type]="Income"))</f>
        <v>158.63999999999984</v>
      </c>
      <c r="H39" s="41" cm="1">
        <f t="array" ref="H39">IF(AND(Tracking[[#This Row],[Type]]="Income",shift_late_income_status="Active",DAY(Tracking[[#This Row],[Date]])&gt;=shift_late_income_starting_day),DATE(YEAR(Tracking[[#This Row],[Date]]),MONTH(Tracking[[#This Row],[Date]])+1,1),Tracking[[#This Row],[Date]])</f>
        <v>46028</v>
      </c>
    </row>
    <row r="40" spans="2:8" x14ac:dyDescent="0.25">
      <c r="B40" s="37">
        <v>46028</v>
      </c>
      <c r="C40" s="38" t="s">
        <v>7</v>
      </c>
      <c r="D40" s="38" t="s">
        <v>20</v>
      </c>
      <c r="E40" s="39">
        <v>66</v>
      </c>
      <c r="F40" s="38" t="s">
        <v>113</v>
      </c>
      <c r="G40" s="40" cm="1">
        <f t="array" ref="G40">SUMPRODUCT(Tracking[Amount],--(Tracking[Date]&lt;=Tracking[[#This Row],[Date]]),(Tracking[Type]&lt;&gt;"Income")*(-1) + (Tracking[Type]="Income"))</f>
        <v>158.63999999999984</v>
      </c>
      <c r="H40" s="41" cm="1">
        <f t="array" ref="H40">IF(AND(Tracking[[#This Row],[Type]]="Income",shift_late_income_status="Active",DAY(Tracking[[#This Row],[Date]])&gt;=shift_late_income_starting_day),DATE(YEAR(Tracking[[#This Row],[Date]]),MONTH(Tracking[[#This Row],[Date]])+1,1),Tracking[[#This Row],[Date]])</f>
        <v>46028</v>
      </c>
    </row>
    <row r="41" spans="2:8" x14ac:dyDescent="0.25">
      <c r="B41" s="37">
        <v>46028</v>
      </c>
      <c r="C41" s="38" t="s">
        <v>1</v>
      </c>
      <c r="D41" s="38" t="s">
        <v>4</v>
      </c>
      <c r="E41" s="39">
        <v>14.08</v>
      </c>
      <c r="F41" s="38" t="s">
        <v>112</v>
      </c>
      <c r="G41" s="40" cm="1">
        <f t="array" ref="G41">SUMPRODUCT(Tracking[Amount],--(Tracking[Date]&lt;=Tracking[[#This Row],[Date]]),(Tracking[Type]&lt;&gt;"Income")*(-1) + (Tracking[Type]="Income"))</f>
        <v>158.63999999999984</v>
      </c>
      <c r="H41" s="41" cm="1">
        <f t="array" ref="H41">IF(AND(Tracking[[#This Row],[Type]]="Income",shift_late_income_status="Active",DAY(Tracking[[#This Row],[Date]])&gt;=shift_late_income_starting_day),DATE(YEAR(Tracking[[#This Row],[Date]]),MONTH(Tracking[[#This Row],[Date]])+1,1),Tracking[[#This Row],[Date]])</f>
        <v>46028</v>
      </c>
    </row>
    <row r="42" spans="2:8" x14ac:dyDescent="0.25">
      <c r="B42" s="37">
        <v>46029</v>
      </c>
      <c r="C42" s="38" t="s">
        <v>7</v>
      </c>
      <c r="D42" s="38" t="s">
        <v>19</v>
      </c>
      <c r="E42" s="39">
        <v>9.99</v>
      </c>
      <c r="F42" s="38" t="s">
        <v>114</v>
      </c>
      <c r="G42" s="40" cm="1">
        <f t="array" ref="G42">SUMPRODUCT(Tracking[Amount],--(Tracking[Date]&lt;=Tracking[[#This Row],[Date]]),(Tracking[Type]&lt;&gt;"Income")*(-1) + (Tracking[Type]="Income"))</f>
        <v>148.64999999999984</v>
      </c>
      <c r="H42" s="41" cm="1">
        <f t="array" ref="H42">IF(AND(Tracking[[#This Row],[Type]]="Income",shift_late_income_status="Active",DAY(Tracking[[#This Row],[Date]])&gt;=shift_late_income_starting_day),DATE(YEAR(Tracking[[#This Row],[Date]]),MONTH(Tracking[[#This Row],[Date]])+1,1),Tracking[[#This Row],[Date]])</f>
        <v>46029</v>
      </c>
    </row>
    <row r="43" spans="2:8" x14ac:dyDescent="0.25">
      <c r="B43" s="37">
        <v>46033</v>
      </c>
      <c r="C43" s="38" t="s">
        <v>7</v>
      </c>
      <c r="D43" s="38" t="s">
        <v>18</v>
      </c>
      <c r="E43" s="39">
        <v>35</v>
      </c>
      <c r="F43" s="38" t="s">
        <v>115</v>
      </c>
      <c r="G43" s="40" cm="1">
        <f t="array" ref="G43">SUMPRODUCT(Tracking[Amount],--(Tracking[Date]&lt;=Tracking[[#This Row],[Date]]),(Tracking[Type]&lt;&gt;"Income")*(-1) + (Tracking[Type]="Income"))</f>
        <v>88.039999999999836</v>
      </c>
      <c r="H43" s="41" cm="1">
        <f t="array" ref="H43">IF(AND(Tracking[[#This Row],[Type]]="Income",shift_late_income_status="Active",DAY(Tracking[[#This Row],[Date]])&gt;=shift_late_income_starting_day),DATE(YEAR(Tracking[[#This Row],[Date]]),MONTH(Tracking[[#This Row],[Date]])+1,1),Tracking[[#This Row],[Date]])</f>
        <v>46033</v>
      </c>
    </row>
    <row r="44" spans="2:8" x14ac:dyDescent="0.25">
      <c r="B44" s="37">
        <v>46033</v>
      </c>
      <c r="C44" s="38" t="s">
        <v>7</v>
      </c>
      <c r="D44" s="38" t="s">
        <v>18</v>
      </c>
      <c r="E44" s="39">
        <v>15</v>
      </c>
      <c r="F44" s="38" t="s">
        <v>116</v>
      </c>
      <c r="G44" s="40" cm="1">
        <f t="array" ref="G44">SUMPRODUCT(Tracking[Amount],--(Tracking[Date]&lt;=Tracking[[#This Row],[Date]]),(Tracking[Type]&lt;&gt;"Income")*(-1) + (Tracking[Type]="Income"))</f>
        <v>88.039999999999836</v>
      </c>
      <c r="H44" s="41" cm="1">
        <f t="array" ref="H44">IF(AND(Tracking[[#This Row],[Type]]="Income",shift_late_income_status="Active",DAY(Tracking[[#This Row],[Date]])&gt;=shift_late_income_starting_day),DATE(YEAR(Tracking[[#This Row],[Date]]),MONTH(Tracking[[#This Row],[Date]])+1,1),Tracking[[#This Row],[Date]])</f>
        <v>46033</v>
      </c>
    </row>
    <row r="45" spans="2:8" x14ac:dyDescent="0.25">
      <c r="B45" s="37">
        <v>46033</v>
      </c>
      <c r="C45" s="38" t="s">
        <v>7</v>
      </c>
      <c r="D45" s="38" t="s">
        <v>15</v>
      </c>
      <c r="E45" s="39">
        <v>10.61</v>
      </c>
      <c r="F45" s="38" t="s">
        <v>117</v>
      </c>
      <c r="G45" s="40" cm="1">
        <f t="array" ref="G45">SUMPRODUCT(Tracking[Amount],--(Tracking[Date]&lt;=Tracking[[#This Row],[Date]]),(Tracking[Type]&lt;&gt;"Income")*(-1) + (Tracking[Type]="Income"))</f>
        <v>88.039999999999836</v>
      </c>
      <c r="H45" s="41" cm="1">
        <f t="array" ref="H45">IF(AND(Tracking[[#This Row],[Type]]="Income",shift_late_income_status="Active",DAY(Tracking[[#This Row],[Date]])&gt;=shift_late_income_starting_day),DATE(YEAR(Tracking[[#This Row],[Date]]),MONTH(Tracking[[#This Row],[Date]])+1,1),Tracking[[#This Row],[Date]])</f>
        <v>46033</v>
      </c>
    </row>
    <row r="46" spans="2:8" x14ac:dyDescent="0.25">
      <c r="B46" s="37">
        <v>46035</v>
      </c>
      <c r="C46" s="38" t="s">
        <v>7</v>
      </c>
      <c r="D46" s="38" t="s">
        <v>19</v>
      </c>
      <c r="E46" s="39">
        <v>7.99</v>
      </c>
      <c r="F46" s="38" t="s">
        <v>121</v>
      </c>
      <c r="G46" s="40" cm="1">
        <f t="array" ref="G46">SUMPRODUCT(Tracking[Amount],--(Tracking[Date]&lt;=Tracking[[#This Row],[Date]]),(Tracking[Type]&lt;&gt;"Income")*(-1) + (Tracking[Type]="Income"))</f>
        <v>80.049999999999841</v>
      </c>
      <c r="H46" s="41" cm="1">
        <f t="array" ref="H46">IF(AND(Tracking[[#This Row],[Type]]="Income",shift_late_income_status="Active",DAY(Tracking[[#This Row],[Date]])&gt;=shift_late_income_starting_day),DATE(YEAR(Tracking[[#This Row],[Date]]),MONTH(Tracking[[#This Row],[Date]])+1,1),Tracking[[#This Row],[Date]])</f>
        <v>46035</v>
      </c>
    </row>
    <row r="47" spans="2:8" x14ac:dyDescent="0.25">
      <c r="B47" s="37">
        <v>46036</v>
      </c>
      <c r="C47" s="38" t="s">
        <v>7</v>
      </c>
      <c r="D47" s="38" t="s">
        <v>14</v>
      </c>
      <c r="E47" s="39">
        <v>0</v>
      </c>
      <c r="F47" s="38" t="s">
        <v>122</v>
      </c>
      <c r="G47" s="40" cm="1">
        <f t="array" ref="G47">SUMPRODUCT(Tracking[Amount],--(Tracking[Date]&lt;=Tracking[[#This Row],[Date]]),(Tracking[Type]&lt;&gt;"Income")*(-1) + (Tracking[Type]="Income"))</f>
        <v>80.049999999999841</v>
      </c>
      <c r="H47" s="41" cm="1">
        <f t="array" ref="H47">IF(AND(Tracking[[#This Row],[Type]]="Income",shift_late_income_status="Active",DAY(Tracking[[#This Row],[Date]])&gt;=shift_late_income_starting_day),DATE(YEAR(Tracking[[#This Row],[Date]]),MONTH(Tracking[[#This Row],[Date]])+1,1),Tracking[[#This Row],[Date]])</f>
        <v>46036</v>
      </c>
    </row>
    <row r="48" spans="2:8" x14ac:dyDescent="0.25">
      <c r="B48" s="37">
        <v>46037</v>
      </c>
      <c r="C48" s="38" t="s">
        <v>1</v>
      </c>
      <c r="D48" s="38" t="s">
        <v>2</v>
      </c>
      <c r="E48" s="39">
        <v>2541.67</v>
      </c>
      <c r="F48" s="38"/>
      <c r="G48" s="40" cm="1">
        <f t="array" ref="G48">SUMPRODUCT(Tracking[Amount],--(Tracking[Date]&lt;=Tracking[[#This Row],[Date]]),(Tracking[Type]&lt;&gt;"Income")*(-1) + (Tracking[Type]="Income"))</f>
        <v>1371.8999999999996</v>
      </c>
      <c r="H48" s="41" cm="1">
        <f t="array" ref="H48">IF(AND(Tracking[[#This Row],[Type]]="Income",shift_late_income_status="Active",DAY(Tracking[[#This Row],[Date]])&gt;=shift_late_income_starting_day),DATE(YEAR(Tracking[[#This Row],[Date]]),MONTH(Tracking[[#This Row],[Date]])+1,1),Tracking[[#This Row],[Date]])</f>
        <v>46037</v>
      </c>
    </row>
    <row r="49" spans="2:8" x14ac:dyDescent="0.25">
      <c r="B49" s="37">
        <v>46037</v>
      </c>
      <c r="C49" s="38" t="s">
        <v>7</v>
      </c>
      <c r="D49" s="38" t="s">
        <v>18</v>
      </c>
      <c r="E49" s="39">
        <v>0</v>
      </c>
      <c r="F49" s="38" t="s">
        <v>123</v>
      </c>
      <c r="G49" s="40" cm="1">
        <f t="array" ref="G49">SUMPRODUCT(Tracking[Amount],--(Tracking[Date]&lt;=Tracking[[#This Row],[Date]]),(Tracking[Type]&lt;&gt;"Income")*(-1) + (Tracking[Type]="Income"))</f>
        <v>1371.8999999999996</v>
      </c>
      <c r="H49" s="41" cm="1">
        <f t="array" ref="H49">IF(AND(Tracking[[#This Row],[Type]]="Income",shift_late_income_status="Active",DAY(Tracking[[#This Row],[Date]])&gt;=shift_late_income_starting_day),DATE(YEAR(Tracking[[#This Row],[Date]]),MONTH(Tracking[[#This Row],[Date]])+1,1),Tracking[[#This Row],[Date]])</f>
        <v>46037</v>
      </c>
    </row>
    <row r="50" spans="2:8" x14ac:dyDescent="0.25">
      <c r="B50" s="37">
        <v>46037</v>
      </c>
      <c r="C50" s="38" t="s">
        <v>7</v>
      </c>
      <c r="D50" s="38" t="s">
        <v>9</v>
      </c>
      <c r="E50" s="39">
        <v>352.75</v>
      </c>
      <c r="F50" s="38"/>
      <c r="G50" s="40" cm="1">
        <f t="array" ref="G50">SUMPRODUCT(Tracking[Amount],--(Tracking[Date]&lt;=Tracking[[#This Row],[Date]]),(Tracking[Type]&lt;&gt;"Income")*(-1) + (Tracking[Type]="Income"))</f>
        <v>1371.8999999999996</v>
      </c>
      <c r="H50" s="41" cm="1">
        <f t="array" ref="H50">IF(AND(Tracking[[#This Row],[Type]]="Income",shift_late_income_status="Active",DAY(Tracking[[#This Row],[Date]])&gt;=shift_late_income_starting_day),DATE(YEAR(Tracking[[#This Row],[Date]]),MONTH(Tracking[[#This Row],[Date]])+1,1),Tracking[[#This Row],[Date]])</f>
        <v>46037</v>
      </c>
    </row>
    <row r="51" spans="2:8" x14ac:dyDescent="0.25">
      <c r="B51" s="37">
        <v>46037</v>
      </c>
      <c r="C51" s="38" t="s">
        <v>7</v>
      </c>
      <c r="D51" s="38" t="s">
        <v>10</v>
      </c>
      <c r="E51" s="39">
        <v>102.38</v>
      </c>
      <c r="F51" s="38"/>
      <c r="G51" s="40" cm="1">
        <f t="array" ref="G51">SUMPRODUCT(Tracking[Amount],--(Tracking[Date]&lt;=Tracking[[#This Row],[Date]]),(Tracking[Type]&lt;&gt;"Income")*(-1) + (Tracking[Type]="Income"))</f>
        <v>1371.8999999999996</v>
      </c>
      <c r="H51" s="41" cm="1">
        <f t="array" ref="H51">IF(AND(Tracking[[#This Row],[Type]]="Income",shift_late_income_status="Active",DAY(Tracking[[#This Row],[Date]])&gt;=shift_late_income_starting_day),DATE(YEAR(Tracking[[#This Row],[Date]]),MONTH(Tracking[[#This Row],[Date]])+1,1),Tracking[[#This Row],[Date]])</f>
        <v>46037</v>
      </c>
    </row>
    <row r="52" spans="2:8" x14ac:dyDescent="0.25">
      <c r="B52" s="37">
        <v>46037</v>
      </c>
      <c r="C52" s="38" t="s">
        <v>24</v>
      </c>
      <c r="D52" s="38" t="s">
        <v>106</v>
      </c>
      <c r="E52" s="39">
        <v>381.25</v>
      </c>
      <c r="F52" s="38"/>
      <c r="G52" s="40" cm="1">
        <f t="array" ref="G52">SUMPRODUCT(Tracking[Amount],--(Tracking[Date]&lt;=Tracking[[#This Row],[Date]]),(Tracking[Type]&lt;&gt;"Income")*(-1) + (Tracking[Type]="Income"))</f>
        <v>1371.8999999999996</v>
      </c>
      <c r="H52" s="41" cm="1">
        <f t="array" ref="H52">IF(AND(Tracking[[#This Row],[Type]]="Income",shift_late_income_status="Active",DAY(Tracking[[#This Row],[Date]])&gt;=shift_late_income_starting_day),DATE(YEAR(Tracking[[#This Row],[Date]]),MONTH(Tracking[[#This Row],[Date]])+1,1),Tracking[[#This Row],[Date]])</f>
        <v>46037</v>
      </c>
    </row>
    <row r="53" spans="2:8" x14ac:dyDescent="0.25">
      <c r="B53" s="37">
        <v>46037</v>
      </c>
      <c r="C53" s="38" t="s">
        <v>7</v>
      </c>
      <c r="D53" s="38" t="s">
        <v>9</v>
      </c>
      <c r="E53" s="39">
        <v>13.44</v>
      </c>
      <c r="F53" s="38"/>
      <c r="G53" s="40" cm="1">
        <f t="array" ref="G53">SUMPRODUCT(Tracking[Amount],--(Tracking[Date]&lt;=Tracking[[#This Row],[Date]]),(Tracking[Type]&lt;&gt;"Income")*(-1) + (Tracking[Type]="Income"))</f>
        <v>1371.8999999999996</v>
      </c>
      <c r="H53" s="41" cm="1">
        <f t="array" ref="H53">IF(AND(Tracking[[#This Row],[Type]]="Income",shift_late_income_status="Active",DAY(Tracking[[#This Row],[Date]])&gt;=shift_late_income_starting_day),DATE(YEAR(Tracking[[#This Row],[Date]]),MONTH(Tracking[[#This Row],[Date]])+1,1),Tracking[[#This Row],[Date]])</f>
        <v>46037</v>
      </c>
    </row>
    <row r="54" spans="2:8" x14ac:dyDescent="0.25">
      <c r="B54" s="37">
        <v>46037</v>
      </c>
      <c r="C54" s="38" t="s">
        <v>7</v>
      </c>
      <c r="D54" s="38" t="s">
        <v>11</v>
      </c>
      <c r="E54" s="39">
        <v>400</v>
      </c>
      <c r="F54" s="38" t="s">
        <v>145</v>
      </c>
      <c r="G54" s="40" cm="1">
        <f t="array" ref="G54">SUMPRODUCT(Tracking[Amount],--(Tracking[Date]&lt;=Tracking[[#This Row],[Date]]),(Tracking[Type]&lt;&gt;"Income")*(-1) + (Tracking[Type]="Income"))</f>
        <v>1371.8999999999996</v>
      </c>
      <c r="H54" s="41" cm="1">
        <f t="array" ref="H54">IF(AND(Tracking[[#This Row],[Type]]="Income",shift_late_income_status="Active",DAY(Tracking[[#This Row],[Date]])&gt;=shift_late_income_starting_day),DATE(YEAR(Tracking[[#This Row],[Date]]),MONTH(Tracking[[#This Row],[Date]])+1,1),Tracking[[#This Row],[Date]])</f>
        <v>46037</v>
      </c>
    </row>
    <row r="55" spans="2:8" x14ac:dyDescent="0.25">
      <c r="B55" s="37">
        <v>46038</v>
      </c>
      <c r="C55" s="38" t="s">
        <v>7</v>
      </c>
      <c r="D55" s="38" t="s">
        <v>125</v>
      </c>
      <c r="E55" s="39">
        <v>32.69</v>
      </c>
      <c r="F55" s="38" t="s">
        <v>126</v>
      </c>
      <c r="G55" s="40" cm="1">
        <f t="array" ref="G55">SUMPRODUCT(Tracking[Amount],--(Tracking[Date]&lt;=Tracking[[#This Row],[Date]]),(Tracking[Type]&lt;&gt;"Income")*(-1) + (Tracking[Type]="Income"))</f>
        <v>1295.1899999999996</v>
      </c>
      <c r="H55" s="41" cm="1">
        <f t="array" ref="H55">IF(AND(Tracking[[#This Row],[Type]]="Income",shift_late_income_status="Active",DAY(Tracking[[#This Row],[Date]])&gt;=shift_late_income_starting_day),DATE(YEAR(Tracking[[#This Row],[Date]]),MONTH(Tracking[[#This Row],[Date]])+1,1),Tracking[[#This Row],[Date]])</f>
        <v>46038</v>
      </c>
    </row>
    <row r="56" spans="2:8" x14ac:dyDescent="0.25">
      <c r="B56" s="37">
        <v>46038</v>
      </c>
      <c r="C56" s="38" t="s">
        <v>7</v>
      </c>
      <c r="D56" s="38" t="s">
        <v>18</v>
      </c>
      <c r="E56" s="39">
        <v>44.02</v>
      </c>
      <c r="F56" s="38" t="s">
        <v>129</v>
      </c>
      <c r="G56" s="40" cm="1">
        <f t="array" ref="G56">SUMPRODUCT(Tracking[Amount],--(Tracking[Date]&lt;=Tracking[[#This Row],[Date]]),(Tracking[Type]&lt;&gt;"Income")*(-1) + (Tracking[Type]="Income"))</f>
        <v>1295.1899999999996</v>
      </c>
      <c r="H56" s="41" cm="1">
        <f t="array" ref="H56">IF(AND(Tracking[[#This Row],[Type]]="Income",shift_late_income_status="Active",DAY(Tracking[[#This Row],[Date]])&gt;=shift_late_income_starting_day),DATE(YEAR(Tracking[[#This Row],[Date]]),MONTH(Tracking[[#This Row],[Date]])+1,1),Tracking[[#This Row],[Date]])</f>
        <v>46038</v>
      </c>
    </row>
    <row r="57" spans="2:8" x14ac:dyDescent="0.25">
      <c r="B57" s="37">
        <v>46039</v>
      </c>
      <c r="C57" s="38" t="s">
        <v>7</v>
      </c>
      <c r="D57" s="38" t="s">
        <v>18</v>
      </c>
      <c r="E57" s="39">
        <v>28.36</v>
      </c>
      <c r="F57" s="38" t="s">
        <v>128</v>
      </c>
      <c r="G57" s="40" cm="1">
        <f t="array" ref="G57">SUMPRODUCT(Tracking[Amount],--(Tracking[Date]&lt;=Tracking[[#This Row],[Date]]),(Tracking[Type]&lt;&gt;"Income")*(-1) + (Tracking[Type]="Income"))</f>
        <v>1252.8399999999997</v>
      </c>
      <c r="H57" s="41" cm="1">
        <f t="array" ref="H57">IF(AND(Tracking[[#This Row],[Type]]="Income",shift_late_income_status="Active",DAY(Tracking[[#This Row],[Date]])&gt;=shift_late_income_starting_day),DATE(YEAR(Tracking[[#This Row],[Date]]),MONTH(Tracking[[#This Row],[Date]])+1,1),Tracking[[#This Row],[Date]])</f>
        <v>46039</v>
      </c>
    </row>
    <row r="58" spans="2:8" x14ac:dyDescent="0.25">
      <c r="B58" s="37">
        <v>46039</v>
      </c>
      <c r="C58" s="38" t="s">
        <v>7</v>
      </c>
      <c r="D58" s="38" t="s">
        <v>19</v>
      </c>
      <c r="E58" s="39">
        <v>13.99</v>
      </c>
      <c r="F58" s="38" t="s">
        <v>130</v>
      </c>
      <c r="G58" s="40" cm="1">
        <f t="array" ref="G58">SUMPRODUCT(Tracking[Amount],--(Tracking[Date]&lt;=Tracking[[#This Row],[Date]]),(Tracking[Type]&lt;&gt;"Income")*(-1) + (Tracking[Type]="Income"))</f>
        <v>1252.8399999999997</v>
      </c>
      <c r="H58" s="41" cm="1">
        <f t="array" ref="H58">IF(AND(Tracking[[#This Row],[Type]]="Income",shift_late_income_status="Active",DAY(Tracking[[#This Row],[Date]])&gt;=shift_late_income_starting_day),DATE(YEAR(Tracking[[#This Row],[Date]]),MONTH(Tracking[[#This Row],[Date]])+1,1),Tracking[[#This Row],[Date]])</f>
        <v>46039</v>
      </c>
    </row>
    <row r="59" spans="2:8" x14ac:dyDescent="0.25">
      <c r="B59" s="37">
        <v>46041</v>
      </c>
      <c r="C59" s="38" t="s">
        <v>7</v>
      </c>
      <c r="D59" s="38" t="s">
        <v>12</v>
      </c>
      <c r="E59" s="39">
        <v>200</v>
      </c>
      <c r="F59" s="38"/>
      <c r="G59" s="40" cm="1">
        <f t="array" ref="G59">SUMPRODUCT(Tracking[Amount],--(Tracking[Date]&lt;=Tracking[[#This Row],[Date]]),(Tracking[Type]&lt;&gt;"Income")*(-1) + (Tracking[Type]="Income"))</f>
        <v>1001.5799999999997</v>
      </c>
      <c r="H59" s="41" cm="1">
        <f t="array" ref="H59">IF(AND(Tracking[[#This Row],[Type]]="Income",shift_late_income_status="Active",DAY(Tracking[[#This Row],[Date]])&gt;=shift_late_income_starting_day),DATE(YEAR(Tracking[[#This Row],[Date]]),MONTH(Tracking[[#This Row],[Date]])+1,1),Tracking[[#This Row],[Date]])</f>
        <v>46041</v>
      </c>
    </row>
    <row r="60" spans="2:8" x14ac:dyDescent="0.25">
      <c r="B60" s="37">
        <v>46041</v>
      </c>
      <c r="C60" s="38" t="s">
        <v>7</v>
      </c>
      <c r="D60" s="38" t="s">
        <v>14</v>
      </c>
      <c r="E60" s="39">
        <v>51.26</v>
      </c>
      <c r="F60" s="38" t="s">
        <v>131</v>
      </c>
      <c r="G60" s="40" cm="1">
        <f t="array" ref="G60">SUMPRODUCT(Tracking[Amount],--(Tracking[Date]&lt;=Tracking[[#This Row],[Date]]),(Tracking[Type]&lt;&gt;"Income")*(-1) + (Tracking[Type]="Income"))</f>
        <v>1001.5799999999997</v>
      </c>
      <c r="H60" s="41" cm="1">
        <f t="array" ref="H60">IF(AND(Tracking[[#This Row],[Type]]="Income",shift_late_income_status="Active",DAY(Tracking[[#This Row],[Date]])&gt;=shift_late_income_starting_day),DATE(YEAR(Tracking[[#This Row],[Date]]),MONTH(Tracking[[#This Row],[Date]])+1,1),Tracking[[#This Row],[Date]])</f>
        <v>46041</v>
      </c>
    </row>
    <row r="61" spans="2:8" x14ac:dyDescent="0.25">
      <c r="B61" s="37">
        <v>46045</v>
      </c>
      <c r="C61" s="38" t="s">
        <v>7</v>
      </c>
      <c r="D61" s="38" t="s">
        <v>11</v>
      </c>
      <c r="E61" s="39">
        <v>87.5</v>
      </c>
      <c r="F61" s="38" t="s">
        <v>138</v>
      </c>
      <c r="G61" s="40" cm="1">
        <f t="array" ref="G61">SUMPRODUCT(Tracking[Amount],--(Tracking[Date]&lt;=Tracking[[#This Row],[Date]]),(Tracking[Type]&lt;&gt;"Income")*(-1) + (Tracking[Type]="Income"))</f>
        <v>719.68999999999971</v>
      </c>
      <c r="H61" s="41" cm="1">
        <f t="array" ref="H61">IF(AND(Tracking[[#This Row],[Type]]="Income",shift_late_income_status="Active",DAY(Tracking[[#This Row],[Date]])&gt;=shift_late_income_starting_day),DATE(YEAR(Tracking[[#This Row],[Date]]),MONTH(Tracking[[#This Row],[Date]])+1,1),Tracking[[#This Row],[Date]])</f>
        <v>46045</v>
      </c>
    </row>
    <row r="62" spans="2:8" x14ac:dyDescent="0.25">
      <c r="B62" s="37">
        <v>46045</v>
      </c>
      <c r="C62" s="38" t="s">
        <v>7</v>
      </c>
      <c r="D62" s="38" t="s">
        <v>16</v>
      </c>
      <c r="E62" s="39">
        <v>27.35</v>
      </c>
      <c r="F62" s="38" t="s">
        <v>13</v>
      </c>
      <c r="G62" s="40" cm="1">
        <f t="array" ref="G62">SUMPRODUCT(Tracking[Amount],--(Tracking[Date]&lt;=Tracking[[#This Row],[Date]]),(Tracking[Type]&lt;&gt;"Income")*(-1) + (Tracking[Type]="Income"))</f>
        <v>719.68999999999971</v>
      </c>
      <c r="H62" s="41" cm="1">
        <f t="array" ref="H62">IF(AND(Tracking[[#This Row],[Type]]="Income",shift_late_income_status="Active",DAY(Tracking[[#This Row],[Date]])&gt;=shift_late_income_starting_day),DATE(YEAR(Tracking[[#This Row],[Date]]),MONTH(Tracking[[#This Row],[Date]])+1,1),Tracking[[#This Row],[Date]])</f>
        <v>46045</v>
      </c>
    </row>
    <row r="63" spans="2:8" x14ac:dyDescent="0.25">
      <c r="B63" s="37">
        <v>46045</v>
      </c>
      <c r="C63" s="38" t="s">
        <v>7</v>
      </c>
      <c r="D63" s="38" t="s">
        <v>20</v>
      </c>
      <c r="E63" s="39">
        <v>59</v>
      </c>
      <c r="F63" s="38" t="s">
        <v>139</v>
      </c>
      <c r="G63" s="40" cm="1">
        <f t="array" ref="G63">SUMPRODUCT(Tracking[Amount],--(Tracking[Date]&lt;=Tracking[[#This Row],[Date]]),(Tracking[Type]&lt;&gt;"Income")*(-1) + (Tracking[Type]="Income"))</f>
        <v>719.68999999999971</v>
      </c>
      <c r="H63" s="41" cm="1">
        <f t="array" ref="H63">IF(AND(Tracking[[#This Row],[Type]]="Income",shift_late_income_status="Active",DAY(Tracking[[#This Row],[Date]])&gt;=shift_late_income_starting_day),DATE(YEAR(Tracking[[#This Row],[Date]]),MONTH(Tracking[[#This Row],[Date]])+1,1),Tracking[[#This Row],[Date]])</f>
        <v>46045</v>
      </c>
    </row>
    <row r="64" spans="2:8" x14ac:dyDescent="0.25">
      <c r="B64" s="37">
        <v>46045</v>
      </c>
      <c r="C64" s="38" t="s">
        <v>7</v>
      </c>
      <c r="D64" s="38" t="s">
        <v>20</v>
      </c>
      <c r="E64" s="39">
        <v>50</v>
      </c>
      <c r="F64" s="38" t="s">
        <v>140</v>
      </c>
      <c r="G64" s="40" cm="1">
        <f t="array" ref="G64">SUMPRODUCT(Tracking[Amount],--(Tracking[Date]&lt;=Tracking[[#This Row],[Date]]),(Tracking[Type]&lt;&gt;"Income")*(-1) + (Tracking[Type]="Income"))</f>
        <v>719.68999999999971</v>
      </c>
      <c r="H64" s="41" cm="1">
        <f t="array" ref="H64">IF(AND(Tracking[[#This Row],[Type]]="Income",shift_late_income_status="Active",DAY(Tracking[[#This Row],[Date]])&gt;=shift_late_income_starting_day),DATE(YEAR(Tracking[[#This Row],[Date]]),MONTH(Tracking[[#This Row],[Date]])+1,1),Tracking[[#This Row],[Date]])</f>
        <v>46045</v>
      </c>
    </row>
    <row r="65" spans="2:10" x14ac:dyDescent="0.25">
      <c r="B65" s="37">
        <v>46045</v>
      </c>
      <c r="C65" s="38" t="s">
        <v>7</v>
      </c>
      <c r="D65" s="38" t="s">
        <v>18</v>
      </c>
      <c r="E65" s="39">
        <v>58.04</v>
      </c>
      <c r="F65" s="38" t="s">
        <v>141</v>
      </c>
      <c r="G65" s="40" cm="1">
        <f t="array" ref="G65">SUMPRODUCT(Tracking[Amount],--(Tracking[Date]&lt;=Tracking[[#This Row],[Date]]),(Tracking[Type]&lt;&gt;"Income")*(-1) + (Tracking[Type]="Income"))</f>
        <v>719.68999999999971</v>
      </c>
      <c r="H65" s="41" cm="1">
        <f t="array" ref="H65">IF(AND(Tracking[[#This Row],[Type]]="Income",shift_late_income_status="Active",DAY(Tracking[[#This Row],[Date]])&gt;=shift_late_income_starting_day),DATE(YEAR(Tracking[[#This Row],[Date]]),MONTH(Tracking[[#This Row],[Date]])+1,1),Tracking[[#This Row],[Date]])</f>
        <v>46045</v>
      </c>
    </row>
    <row r="66" spans="2:10" x14ac:dyDescent="0.25">
      <c r="B66" s="37">
        <v>46046</v>
      </c>
      <c r="C66" s="38" t="s">
        <v>7</v>
      </c>
      <c r="D66" s="38" t="s">
        <v>19</v>
      </c>
      <c r="E66" s="39">
        <v>18.489999999999998</v>
      </c>
      <c r="F66" s="38" t="s">
        <v>142</v>
      </c>
      <c r="G66" s="40" cm="1">
        <f t="array" ref="G66">SUMPRODUCT(Tracking[Amount],--(Tracking[Date]&lt;=Tracking[[#This Row],[Date]]),(Tracking[Type]&lt;&gt;"Income")*(-1) + (Tracking[Type]="Income"))</f>
        <v>701.1999999999997</v>
      </c>
      <c r="H66" s="41" cm="1">
        <f t="array" ref="H66">IF(AND(Tracking[[#This Row],[Type]]="Income",shift_late_income_status="Active",DAY(Tracking[[#This Row],[Date]])&gt;=shift_late_income_starting_day),DATE(YEAR(Tracking[[#This Row],[Date]]),MONTH(Tracking[[#This Row],[Date]])+1,1),Tracking[[#This Row],[Date]])</f>
        <v>46046</v>
      </c>
    </row>
    <row r="67" spans="2:10" x14ac:dyDescent="0.25">
      <c r="B67" s="37">
        <v>46047</v>
      </c>
      <c r="C67" s="38" t="s">
        <v>7</v>
      </c>
      <c r="D67" s="38" t="s">
        <v>18</v>
      </c>
      <c r="E67" s="39">
        <v>45</v>
      </c>
      <c r="F67" s="38" t="s">
        <v>115</v>
      </c>
      <c r="G67" s="40" cm="1">
        <f t="array" ref="G67">SUMPRODUCT(Tracking[Amount],--(Tracking[Date]&lt;=Tracking[[#This Row],[Date]]),(Tracking[Type]&lt;&gt;"Income")*(-1) + (Tracking[Type]="Income"))</f>
        <v>644.74999999999966</v>
      </c>
      <c r="H67" s="41" cm="1">
        <f t="array" ref="H67">IF(AND(Tracking[[#This Row],[Type]]="Income",shift_late_income_status="Active",DAY(Tracking[[#This Row],[Date]])&gt;=shift_late_income_starting_day),DATE(YEAR(Tracking[[#This Row],[Date]]),MONTH(Tracking[[#This Row],[Date]])+1,1),Tracking[[#This Row],[Date]])</f>
        <v>46047</v>
      </c>
      <c r="J67" s="35"/>
    </row>
    <row r="68" spans="2:10" x14ac:dyDescent="0.25">
      <c r="B68" s="37">
        <v>46047</v>
      </c>
      <c r="C68" s="38" t="s">
        <v>7</v>
      </c>
      <c r="D68" s="38" t="s">
        <v>18</v>
      </c>
      <c r="E68" s="39">
        <v>6.45</v>
      </c>
      <c r="F68" s="38" t="s">
        <v>144</v>
      </c>
      <c r="G68" s="40" cm="1">
        <f t="array" ref="G68">SUMPRODUCT(Tracking[Amount],--(Tracking[Date]&lt;=Tracking[[#This Row],[Date]]),(Tracking[Type]&lt;&gt;"Income")*(-1) + (Tracking[Type]="Income"))</f>
        <v>644.74999999999966</v>
      </c>
      <c r="H68" s="41" cm="1">
        <f t="array" ref="H68">IF(AND(Tracking[[#This Row],[Type]]="Income",shift_late_income_status="Active",DAY(Tracking[[#This Row],[Date]])&gt;=shift_late_income_starting_day),DATE(YEAR(Tracking[[#This Row],[Date]]),MONTH(Tracking[[#This Row],[Date]])+1,1),Tracking[[#This Row],[Date]])</f>
        <v>46047</v>
      </c>
    </row>
    <row r="69" spans="2:10" x14ac:dyDescent="0.25">
      <c r="B69" s="37">
        <v>46047</v>
      </c>
      <c r="C69" s="38" t="s">
        <v>7</v>
      </c>
      <c r="D69" s="38" t="s">
        <v>19</v>
      </c>
      <c r="E69" s="39">
        <v>5</v>
      </c>
      <c r="F69" s="38" t="s">
        <v>143</v>
      </c>
      <c r="G69" s="40" cm="1">
        <f t="array" ref="G69">SUMPRODUCT(Tracking[Amount],--(Tracking[Date]&lt;=Tracking[[#This Row],[Date]]),(Tracking[Type]&lt;&gt;"Income")*(-1) + (Tracking[Type]="Income"))</f>
        <v>644.74999999999966</v>
      </c>
      <c r="H69" s="41" cm="1">
        <f t="array" ref="H69">IF(AND(Tracking[[#This Row],[Type]]="Income",shift_late_income_status="Active",DAY(Tracking[[#This Row],[Date]])&gt;=shift_late_income_starting_day),DATE(YEAR(Tracking[[#This Row],[Date]]),MONTH(Tracking[[#This Row],[Date]])+1,1),Tracking[[#This Row],[Date]])</f>
        <v>46047</v>
      </c>
      <c r="J69" s="35"/>
    </row>
    <row r="70" spans="2:10" x14ac:dyDescent="0.25">
      <c r="B70" s="37">
        <v>46048</v>
      </c>
      <c r="C70" s="38" t="s">
        <v>7</v>
      </c>
      <c r="D70" s="38" t="s">
        <v>125</v>
      </c>
      <c r="E70" s="39">
        <v>150</v>
      </c>
      <c r="F70" s="38" t="s">
        <v>148</v>
      </c>
      <c r="G70" s="40" cm="1">
        <f t="array" ref="G70">SUMPRODUCT(Tracking[Amount],--(Tracking[Date]&lt;=Tracking[[#This Row],[Date]]),(Tracking[Type]&lt;&gt;"Income")*(-1) + (Tracking[Type]="Income"))</f>
        <v>475.02999999999963</v>
      </c>
      <c r="H70" s="41" cm="1">
        <f t="array" ref="H70">IF(AND(Tracking[[#This Row],[Type]]="Income",shift_late_income_status="Active",DAY(Tracking[[#This Row],[Date]])&gt;=shift_late_income_starting_day),DATE(YEAR(Tracking[[#This Row],[Date]]),MONTH(Tracking[[#This Row],[Date]])+1,1),Tracking[[#This Row],[Date]])</f>
        <v>46048</v>
      </c>
    </row>
    <row r="71" spans="2:10" x14ac:dyDescent="0.25">
      <c r="B71" s="37">
        <v>46048</v>
      </c>
      <c r="C71" s="38" t="s">
        <v>7</v>
      </c>
      <c r="D71" s="38" t="s">
        <v>19</v>
      </c>
      <c r="E71" s="39">
        <v>5.99</v>
      </c>
      <c r="F71" s="38" t="s">
        <v>146</v>
      </c>
      <c r="G71" s="40" cm="1">
        <f t="array" ref="G71">SUMPRODUCT(Tracking[Amount],--(Tracking[Date]&lt;=Tracking[[#This Row],[Date]]),(Tracking[Type]&lt;&gt;"Income")*(-1) + (Tracking[Type]="Income"))</f>
        <v>475.02999999999963</v>
      </c>
      <c r="H71" s="41" cm="1">
        <f t="array" ref="H71">IF(AND(Tracking[[#This Row],[Type]]="Income",shift_late_income_status="Active",DAY(Tracking[[#This Row],[Date]])&gt;=shift_late_income_starting_day),DATE(YEAR(Tracking[[#This Row],[Date]]),MONTH(Tracking[[#This Row],[Date]])+1,1),Tracking[[#This Row],[Date]])</f>
        <v>46048</v>
      </c>
    </row>
    <row r="72" spans="2:10" x14ac:dyDescent="0.25">
      <c r="B72" s="37">
        <v>46048</v>
      </c>
      <c r="C72" s="38" t="s">
        <v>7</v>
      </c>
      <c r="D72" s="38" t="s">
        <v>15</v>
      </c>
      <c r="E72" s="39">
        <v>13.73</v>
      </c>
      <c r="F72" s="38" t="s">
        <v>147</v>
      </c>
      <c r="G72" s="40" cm="1">
        <f t="array" ref="G72">SUMPRODUCT(Tracking[Amount],--(Tracking[Date]&lt;=Tracking[[#This Row],[Date]]),(Tracking[Type]&lt;&gt;"Income")*(-1) + (Tracking[Type]="Income"))</f>
        <v>475.02999999999963</v>
      </c>
      <c r="H72" s="41" cm="1">
        <f t="array" ref="H72">IF(AND(Tracking[[#This Row],[Type]]="Income",shift_late_income_status="Active",DAY(Tracking[[#This Row],[Date]])&gt;=shift_late_income_starting_day),DATE(YEAR(Tracking[[#This Row],[Date]]),MONTH(Tracking[[#This Row],[Date]])+1,1),Tracking[[#This Row],[Date]])</f>
        <v>46048</v>
      </c>
    </row>
    <row r="73" spans="2:10" x14ac:dyDescent="0.25">
      <c r="B73" s="37">
        <v>46049</v>
      </c>
      <c r="C73" s="38" t="s">
        <v>7</v>
      </c>
      <c r="D73" s="38" t="s">
        <v>18</v>
      </c>
      <c r="E73" s="39">
        <v>30</v>
      </c>
      <c r="F73" s="38" t="s">
        <v>149</v>
      </c>
      <c r="G73" s="40" cm="1">
        <f t="array" ref="G73">SUMPRODUCT(Tracking[Amount],--(Tracking[Date]&lt;=Tracking[[#This Row],[Date]]),(Tracking[Type]&lt;&gt;"Income")*(-1) + (Tracking[Type]="Income"))</f>
        <v>407.1299999999996</v>
      </c>
      <c r="H73" s="41" cm="1">
        <f t="array" ref="H73">IF(AND(Tracking[[#This Row],[Type]]="Income",shift_late_income_status="Active",DAY(Tracking[[#This Row],[Date]])&gt;=shift_late_income_starting_day),DATE(YEAR(Tracking[[#This Row],[Date]]),MONTH(Tracking[[#This Row],[Date]])+1,1),Tracking[[#This Row],[Date]])</f>
        <v>46049</v>
      </c>
    </row>
    <row r="74" spans="2:10" x14ac:dyDescent="0.25">
      <c r="B74" s="37">
        <v>46049</v>
      </c>
      <c r="C74" s="38" t="s">
        <v>7</v>
      </c>
      <c r="D74" s="38" t="s">
        <v>19</v>
      </c>
      <c r="E74" s="39">
        <v>7.99</v>
      </c>
      <c r="F74" s="38" t="s">
        <v>150</v>
      </c>
      <c r="G74" s="40" cm="1">
        <f t="array" ref="G74">SUMPRODUCT(Tracking[Amount],--(Tracking[Date]&lt;=Tracking[[#This Row],[Date]]),(Tracking[Type]&lt;&gt;"Income")*(-1) + (Tracking[Type]="Income"))</f>
        <v>407.1299999999996</v>
      </c>
      <c r="H74" s="41" cm="1">
        <f t="array" ref="H74">IF(AND(Tracking[[#This Row],[Type]]="Income",shift_late_income_status="Active",DAY(Tracking[[#This Row],[Date]])&gt;=shift_late_income_starting_day),DATE(YEAR(Tracking[[#This Row],[Date]]),MONTH(Tracking[[#This Row],[Date]])+1,1),Tracking[[#This Row],[Date]])</f>
        <v>46049</v>
      </c>
    </row>
    <row r="75" spans="2:10" x14ac:dyDescent="0.25">
      <c r="B75" s="37">
        <v>46049</v>
      </c>
      <c r="C75" s="38" t="s">
        <v>7</v>
      </c>
      <c r="D75" s="38" t="s">
        <v>18</v>
      </c>
      <c r="E75" s="39">
        <v>29.91</v>
      </c>
      <c r="F75" s="38" t="s">
        <v>151</v>
      </c>
      <c r="G75" s="40" cm="1">
        <f t="array" ref="G75">SUMPRODUCT(Tracking[Amount],--(Tracking[Date]&lt;=Tracking[[#This Row],[Date]]),(Tracking[Type]&lt;&gt;"Income")*(-1) + (Tracking[Type]="Income"))</f>
        <v>407.1299999999996</v>
      </c>
      <c r="H75" s="41" cm="1">
        <f t="array" ref="H75">IF(AND(Tracking[[#This Row],[Type]]="Income",shift_late_income_status="Active",DAY(Tracking[[#This Row],[Date]])&gt;=shift_late_income_starting_day),DATE(YEAR(Tracking[[#This Row],[Date]]),MONTH(Tracking[[#This Row],[Date]])+1,1),Tracking[[#This Row],[Date]])</f>
        <v>46049</v>
      </c>
    </row>
    <row r="76" spans="2:10" x14ac:dyDescent="0.25">
      <c r="B76" s="37">
        <v>46050</v>
      </c>
      <c r="C76" s="38" t="s">
        <v>7</v>
      </c>
      <c r="D76" s="38" t="s">
        <v>127</v>
      </c>
      <c r="E76" s="39">
        <v>151.66999999999999</v>
      </c>
      <c r="F76" s="38"/>
      <c r="G76" s="40" cm="1">
        <f t="array" ref="G76">SUMPRODUCT(Tracking[Amount],--(Tracking[Date]&lt;=Tracking[[#This Row],[Date]]),(Tracking[Type]&lt;&gt;"Income")*(-1) + (Tracking[Type]="Income"))</f>
        <v>250.45999999999961</v>
      </c>
      <c r="H76" s="41" cm="1">
        <f t="array" ref="H76">IF(AND(Tracking[[#This Row],[Type]]="Income",shift_late_income_status="Active",DAY(Tracking[[#This Row],[Date]])&gt;=shift_late_income_starting_day),DATE(YEAR(Tracking[[#This Row],[Date]]),MONTH(Tracking[[#This Row],[Date]])+1,1),Tracking[[#This Row],[Date]])</f>
        <v>46050</v>
      </c>
    </row>
    <row r="77" spans="2:10" x14ac:dyDescent="0.25">
      <c r="B77" s="37">
        <v>46050</v>
      </c>
      <c r="C77" s="38" t="s">
        <v>7</v>
      </c>
      <c r="D77" s="38" t="s">
        <v>19</v>
      </c>
      <c r="E77" s="39">
        <v>5</v>
      </c>
      <c r="F77" s="38" t="s">
        <v>162</v>
      </c>
      <c r="G77" s="40" cm="1">
        <f t="array" ref="G77">SUMPRODUCT(Tracking[Amount],--(Tracking[Date]&lt;=Tracking[[#This Row],[Date]]),(Tracking[Type]&lt;&gt;"Income")*(-1) + (Tracking[Type]="Income"))</f>
        <v>250.45999999999961</v>
      </c>
      <c r="H77" s="41" cm="1">
        <f t="array" ref="H77">IF(AND(Tracking[[#This Row],[Type]]="Income",shift_late_income_status="Active",DAY(Tracking[[#This Row],[Date]])&gt;=shift_late_income_starting_day),DATE(YEAR(Tracking[[#This Row],[Date]]),MONTH(Tracking[[#This Row],[Date]])+1,1),Tracking[[#This Row],[Date]])</f>
        <v>46050</v>
      </c>
    </row>
    <row r="78" spans="2:10" x14ac:dyDescent="0.25">
      <c r="B78" s="37">
        <v>46052</v>
      </c>
      <c r="C78" s="38" t="s">
        <v>1</v>
      </c>
      <c r="D78" s="38" t="s">
        <v>2</v>
      </c>
      <c r="E78" s="39">
        <v>2541.67</v>
      </c>
      <c r="F78" s="38"/>
      <c r="G78" s="40" cm="1">
        <f t="array" ref="G78">SUMPRODUCT(Tracking[Amount],--(Tracking[Date]&lt;=Tracking[[#This Row],[Date]]),(Tracking[Type]&lt;&gt;"Income")*(-1) + (Tracking[Type]="Income"))</f>
        <v>2762.1299999999997</v>
      </c>
      <c r="H78" s="41" cm="1">
        <f t="array" ref="H78">IF(AND(Tracking[[#This Row],[Type]]="Income",shift_late_income_status="Active",DAY(Tracking[[#This Row],[Date]])&gt;=shift_late_income_starting_day),DATE(YEAR(Tracking[[#This Row],[Date]]),MONTH(Tracking[[#This Row],[Date]])+1,1),Tracking[[#This Row],[Date]])</f>
        <v>46054</v>
      </c>
    </row>
    <row r="79" spans="2:10" x14ac:dyDescent="0.25">
      <c r="B79" s="37">
        <v>46052</v>
      </c>
      <c r="C79" s="38" t="s">
        <v>7</v>
      </c>
      <c r="D79" s="38" t="s">
        <v>18</v>
      </c>
      <c r="E79" s="39">
        <v>30</v>
      </c>
      <c r="F79" s="38" t="s">
        <v>161</v>
      </c>
      <c r="G79" s="40" cm="1">
        <f t="array" ref="G79">SUMPRODUCT(Tracking[Amount],--(Tracking[Date]&lt;=Tracking[[#This Row],[Date]]),(Tracking[Type]&lt;&gt;"Income")*(-1) + (Tracking[Type]="Income"))</f>
        <v>2762.1299999999997</v>
      </c>
      <c r="H79" s="41" cm="1">
        <f t="array" ref="H79">IF(AND(Tracking[[#This Row],[Type]]="Income",shift_late_income_status="Active",DAY(Tracking[[#This Row],[Date]])&gt;=shift_late_income_starting_day),DATE(YEAR(Tracking[[#This Row],[Date]]),MONTH(Tracking[[#This Row],[Date]])+1,1),Tracking[[#This Row],[Date]])</f>
        <v>46052</v>
      </c>
    </row>
    <row r="80" spans="2:10" x14ac:dyDescent="0.25">
      <c r="B80" s="37">
        <v>46053</v>
      </c>
      <c r="C80" s="38" t="s">
        <v>7</v>
      </c>
      <c r="D80" s="38" t="s">
        <v>125</v>
      </c>
      <c r="E80" s="39">
        <v>400</v>
      </c>
      <c r="F80" s="38" t="s">
        <v>153</v>
      </c>
      <c r="G80" s="40" cm="1">
        <f t="array" ref="G80">SUMPRODUCT(Tracking[Amount],--(Tracking[Date]&lt;=Tracking[[#This Row],[Date]]),(Tracking[Type]&lt;&gt;"Income")*(-1) + (Tracking[Type]="Income"))</f>
        <v>2267.3799999999997</v>
      </c>
      <c r="H80" s="41" cm="1">
        <f t="array" ref="H80">IF(AND(Tracking[[#This Row],[Type]]="Income",shift_late_income_status="Active",DAY(Tracking[[#This Row],[Date]])&gt;=shift_late_income_starting_day),DATE(YEAR(Tracking[[#This Row],[Date]]),MONTH(Tracking[[#This Row],[Date]])+1,1),Tracking[[#This Row],[Date]])</f>
        <v>46053</v>
      </c>
    </row>
    <row r="81" spans="2:8" x14ac:dyDescent="0.25">
      <c r="B81" s="37">
        <v>46053</v>
      </c>
      <c r="C81" s="38" t="s">
        <v>7</v>
      </c>
      <c r="D81" s="38" t="s">
        <v>15</v>
      </c>
      <c r="E81" s="39">
        <v>58.75</v>
      </c>
      <c r="F81" s="38"/>
      <c r="G81" s="40" cm="1">
        <f t="array" ref="G81">SUMPRODUCT(Tracking[Amount],--(Tracking[Date]&lt;=Tracking[[#This Row],[Date]]),(Tracking[Type]&lt;&gt;"Income")*(-1) + (Tracking[Type]="Income"))</f>
        <v>2267.3799999999997</v>
      </c>
      <c r="H81" s="41" cm="1">
        <f t="array" ref="H81">IF(AND(Tracking[[#This Row],[Type]]="Income",shift_late_income_status="Active",DAY(Tracking[[#This Row],[Date]])&gt;=shift_late_income_starting_day),DATE(YEAR(Tracking[[#This Row],[Date]]),MONTH(Tracking[[#This Row],[Date]])+1,1),Tracking[[#This Row],[Date]])</f>
        <v>46053</v>
      </c>
    </row>
    <row r="82" spans="2:8" x14ac:dyDescent="0.25">
      <c r="B82" s="37">
        <v>46053</v>
      </c>
      <c r="C82" s="38" t="s">
        <v>7</v>
      </c>
      <c r="D82" s="38" t="s">
        <v>18</v>
      </c>
      <c r="E82" s="39">
        <v>36</v>
      </c>
      <c r="F82" s="38" t="s">
        <v>159</v>
      </c>
      <c r="G82" s="40" cm="1">
        <f t="array" ref="G82">SUMPRODUCT(Tracking[Amount],--(Tracking[Date]&lt;=Tracking[[#This Row],[Date]]),(Tracking[Type]&lt;&gt;"Income")*(-1) + (Tracking[Type]="Income"))</f>
        <v>2267.3799999999997</v>
      </c>
      <c r="H82" s="41" cm="1">
        <f t="array" ref="H82">IF(AND(Tracking[[#This Row],[Type]]="Income",shift_late_income_status="Active",DAY(Tracking[[#This Row],[Date]])&gt;=shift_late_income_starting_day),DATE(YEAR(Tracking[[#This Row],[Date]]),MONTH(Tracking[[#This Row],[Date]])+1,1),Tracking[[#This Row],[Date]])</f>
        <v>46053</v>
      </c>
    </row>
    <row r="83" spans="2:8" x14ac:dyDescent="0.25">
      <c r="B83" s="37">
        <v>46054</v>
      </c>
      <c r="C83" s="38" t="s">
        <v>7</v>
      </c>
      <c r="D83" s="38" t="s">
        <v>9</v>
      </c>
      <c r="E83" s="39">
        <f>383.24+14.87</f>
        <v>398.11</v>
      </c>
      <c r="F83" s="38"/>
      <c r="G83" s="40" cm="1">
        <f t="array" ref="G83">SUMPRODUCT(Tracking[Amount],--(Tracking[Date]&lt;=Tracking[[#This Row],[Date]]),(Tracking[Type]&lt;&gt;"Income")*(-1) + (Tracking[Type]="Income"))</f>
        <v>154.72999999999942</v>
      </c>
      <c r="H83" s="41" cm="1">
        <f t="array" ref="H83">IF(AND(Tracking[[#This Row],[Type]]="Income",shift_late_income_status="Active",DAY(Tracking[[#This Row],[Date]])&gt;=shift_late_income_starting_day),DATE(YEAR(Tracking[[#This Row],[Date]]),MONTH(Tracking[[#This Row],[Date]])+1,1),Tracking[[#This Row],[Date]])</f>
        <v>46054</v>
      </c>
    </row>
    <row r="84" spans="2:8" x14ac:dyDescent="0.25">
      <c r="B84" s="37">
        <v>46054</v>
      </c>
      <c r="C84" s="38" t="s">
        <v>7</v>
      </c>
      <c r="D84" s="38" t="s">
        <v>10</v>
      </c>
      <c r="E84" s="39">
        <v>102.38</v>
      </c>
      <c r="F84" s="38"/>
      <c r="G84" s="40" cm="1">
        <f t="array" ref="G84">SUMPRODUCT(Tracking[Amount],--(Tracking[Date]&lt;=Tracking[[#This Row],[Date]]),(Tracking[Type]&lt;&gt;"Income")*(-1) + (Tracking[Type]="Income"))</f>
        <v>154.72999999999942</v>
      </c>
      <c r="H84" s="41" cm="1">
        <f t="array" ref="H84">IF(AND(Tracking[[#This Row],[Type]]="Income",shift_late_income_status="Active",DAY(Tracking[[#This Row],[Date]])&gt;=shift_late_income_starting_day),DATE(YEAR(Tracking[[#This Row],[Date]]),MONTH(Tracking[[#This Row],[Date]])+1,1),Tracking[[#This Row],[Date]])</f>
        <v>46054</v>
      </c>
    </row>
    <row r="85" spans="2:8" x14ac:dyDescent="0.25">
      <c r="B85" s="37">
        <v>46054</v>
      </c>
      <c r="C85" s="38" t="s">
        <v>24</v>
      </c>
      <c r="D85" s="38" t="s">
        <v>106</v>
      </c>
      <c r="E85" s="39">
        <v>127.08</v>
      </c>
      <c r="F85" s="38"/>
      <c r="G85" s="40" cm="1">
        <f t="array" ref="G85">SUMPRODUCT(Tracking[Amount],--(Tracking[Date]&lt;=Tracking[[#This Row],[Date]]),(Tracking[Type]&lt;&gt;"Income")*(-1) + (Tracking[Type]="Income"))</f>
        <v>154.72999999999942</v>
      </c>
      <c r="H85" s="41" cm="1">
        <f t="array" ref="H85">IF(AND(Tracking[[#This Row],[Type]]="Income",shift_late_income_status="Active",DAY(Tracking[[#This Row],[Date]])&gt;=shift_late_income_starting_day),DATE(YEAR(Tracking[[#This Row],[Date]]),MONTH(Tracking[[#This Row],[Date]])+1,1),Tracking[[#This Row],[Date]])</f>
        <v>46054</v>
      </c>
    </row>
    <row r="86" spans="2:8" x14ac:dyDescent="0.25">
      <c r="B86" s="37">
        <v>46054</v>
      </c>
      <c r="C86" s="38" t="s">
        <v>7</v>
      </c>
      <c r="D86" s="38" t="s">
        <v>14</v>
      </c>
      <c r="E86" s="39">
        <v>50</v>
      </c>
      <c r="F86" s="38" t="s">
        <v>122</v>
      </c>
      <c r="G86" s="40" cm="1">
        <f t="array" ref="G86">SUMPRODUCT(Tracking[Amount],--(Tracking[Date]&lt;=Tracking[[#This Row],[Date]]),(Tracking[Type]&lt;&gt;"Income")*(-1) + (Tracking[Type]="Income"))</f>
        <v>154.72999999999942</v>
      </c>
      <c r="H86" s="41" cm="1">
        <f t="array" ref="H86">IF(AND(Tracking[[#This Row],[Type]]="Income",shift_late_income_status="Active",DAY(Tracking[[#This Row],[Date]])&gt;=shift_late_income_starting_day),DATE(YEAR(Tracking[[#This Row],[Date]]),MONTH(Tracking[[#This Row],[Date]])+1,1),Tracking[[#This Row],[Date]])</f>
        <v>46054</v>
      </c>
    </row>
    <row r="87" spans="2:8" x14ac:dyDescent="0.25">
      <c r="B87" s="37">
        <v>46054</v>
      </c>
      <c r="C87" s="38" t="s">
        <v>7</v>
      </c>
      <c r="D87" s="38" t="s">
        <v>18</v>
      </c>
      <c r="E87" s="39">
        <v>50</v>
      </c>
      <c r="F87" s="38" t="s">
        <v>152</v>
      </c>
      <c r="G87" s="40" cm="1">
        <f t="array" ref="G87">SUMPRODUCT(Tracking[Amount],--(Tracking[Date]&lt;=Tracking[[#This Row],[Date]]),(Tracking[Type]&lt;&gt;"Income")*(-1) + (Tracking[Type]="Income"))</f>
        <v>154.72999999999942</v>
      </c>
      <c r="H87" s="41" cm="1">
        <f t="array" ref="H87">IF(AND(Tracking[[#This Row],[Type]]="Income",shift_late_income_status="Active",DAY(Tracking[[#This Row],[Date]])&gt;=shift_late_income_starting_day),DATE(YEAR(Tracking[[#This Row],[Date]]),MONTH(Tracking[[#This Row],[Date]])+1,1),Tracking[[#This Row],[Date]])</f>
        <v>46054</v>
      </c>
    </row>
    <row r="88" spans="2:8" x14ac:dyDescent="0.25">
      <c r="B88" s="37">
        <v>46054</v>
      </c>
      <c r="C88" s="38" t="s">
        <v>7</v>
      </c>
      <c r="D88" s="38" t="s">
        <v>14</v>
      </c>
      <c r="E88" s="39">
        <v>43.18</v>
      </c>
      <c r="F88" s="38" t="s">
        <v>13</v>
      </c>
      <c r="G88" s="40" cm="1">
        <f t="array" ref="G88">SUMPRODUCT(Tracking[Amount],--(Tracking[Date]&lt;=Tracking[[#This Row],[Date]]),(Tracking[Type]&lt;&gt;"Income")*(-1) + (Tracking[Type]="Income"))</f>
        <v>154.72999999999942</v>
      </c>
      <c r="H88" s="41" cm="1">
        <f t="array" ref="H88">IF(AND(Tracking[[#This Row],[Type]]="Income",shift_late_income_status="Active",DAY(Tracking[[#This Row],[Date]])&gt;=shift_late_income_starting_day),DATE(YEAR(Tracking[[#This Row],[Date]]),MONTH(Tracking[[#This Row],[Date]])+1,1),Tracking[[#This Row],[Date]])</f>
        <v>46054</v>
      </c>
    </row>
    <row r="89" spans="2:8" x14ac:dyDescent="0.25">
      <c r="B89" s="37">
        <v>46054</v>
      </c>
      <c r="C89" s="38" t="s">
        <v>7</v>
      </c>
      <c r="D89" s="38" t="s">
        <v>8</v>
      </c>
      <c r="E89" s="39">
        <v>1280</v>
      </c>
      <c r="F89" s="38"/>
      <c r="G89" s="40" cm="1">
        <f t="array" ref="G89">SUMPRODUCT(Tracking[Amount],--(Tracking[Date]&lt;=Tracking[[#This Row],[Date]]),(Tracking[Type]&lt;&gt;"Income")*(-1) + (Tracking[Type]="Income"))</f>
        <v>154.72999999999942</v>
      </c>
      <c r="H89" s="41" cm="1">
        <f t="array" ref="H89">IF(AND(Tracking[[#This Row],[Type]]="Income",shift_late_income_status="Active",DAY(Tracking[[#This Row],[Date]])&gt;=shift_late_income_starting_day),DATE(YEAR(Tracking[[#This Row],[Date]]),MONTH(Tracking[[#This Row],[Date]])+1,1),Tracking[[#This Row],[Date]])</f>
        <v>46054</v>
      </c>
    </row>
    <row r="90" spans="2:8" x14ac:dyDescent="0.25">
      <c r="B90" s="37">
        <v>46054</v>
      </c>
      <c r="C90" s="38" t="s">
        <v>7</v>
      </c>
      <c r="D90" s="38" t="s">
        <v>12</v>
      </c>
      <c r="E90" s="39">
        <v>0</v>
      </c>
      <c r="F90" s="38" t="s">
        <v>154</v>
      </c>
      <c r="G90" s="40" cm="1">
        <f t="array" ref="G90">SUMPRODUCT(Tracking[Amount],--(Tracking[Date]&lt;=Tracking[[#This Row],[Date]]),(Tracking[Type]&lt;&gt;"Income")*(-1) + (Tracking[Type]="Income"))</f>
        <v>154.72999999999942</v>
      </c>
      <c r="H90" s="41" cm="1">
        <f t="array" ref="H90">IF(AND(Tracking[[#This Row],[Type]]="Income",shift_late_income_status="Active",DAY(Tracking[[#This Row],[Date]])&gt;=shift_late_income_starting_day),DATE(YEAR(Tracking[[#This Row],[Date]]),MONTH(Tracking[[#This Row],[Date]])+1,1),Tracking[[#This Row],[Date]])</f>
        <v>46054</v>
      </c>
    </row>
    <row r="91" spans="2:8" x14ac:dyDescent="0.25">
      <c r="B91" s="37">
        <v>46054</v>
      </c>
      <c r="C91" s="38" t="s">
        <v>7</v>
      </c>
      <c r="D91" s="38" t="s">
        <v>18</v>
      </c>
      <c r="E91" s="39">
        <v>61.9</v>
      </c>
      <c r="F91" s="38" t="s">
        <v>155</v>
      </c>
      <c r="G91" s="40" cm="1">
        <f t="array" ref="G91">SUMPRODUCT(Tracking[Amount],--(Tracking[Date]&lt;=Tracking[[#This Row],[Date]]),(Tracking[Type]&lt;&gt;"Income")*(-1) + (Tracking[Type]="Income"))</f>
        <v>154.72999999999942</v>
      </c>
      <c r="H91" s="41" cm="1">
        <f t="array" ref="H91">IF(AND(Tracking[[#This Row],[Type]]="Income",shift_late_income_status="Active",DAY(Tracking[[#This Row],[Date]])&gt;=shift_late_income_starting_day),DATE(YEAR(Tracking[[#This Row],[Date]]),MONTH(Tracking[[#This Row],[Date]])+1,1),Tracking[[#This Row],[Date]])</f>
        <v>46054</v>
      </c>
    </row>
    <row r="92" spans="2:8" x14ac:dyDescent="0.25">
      <c r="B92" s="37">
        <v>46055</v>
      </c>
      <c r="C92" s="38" t="s">
        <v>7</v>
      </c>
      <c r="D92" s="38" t="s">
        <v>18</v>
      </c>
      <c r="E92" s="39">
        <v>9.74</v>
      </c>
      <c r="F92" s="38" t="s">
        <v>156</v>
      </c>
      <c r="G92" s="40" cm="1">
        <f t="array" ref="G92">SUMPRODUCT(Tracking[Amount],--(Tracking[Date]&lt;=Tracking[[#This Row],[Date]]),(Tracking[Type]&lt;&gt;"Income")*(-1) + (Tracking[Type]="Income"))</f>
        <v>95.729999999999407</v>
      </c>
      <c r="H92" s="41" cm="1">
        <f t="array" ref="H92">IF(AND(Tracking[[#This Row],[Type]]="Income",shift_late_income_status="Active",DAY(Tracking[[#This Row],[Date]])&gt;=shift_late_income_starting_day),DATE(YEAR(Tracking[[#This Row],[Date]]),MONTH(Tracking[[#This Row],[Date]])+1,1),Tracking[[#This Row],[Date]])</f>
        <v>46055</v>
      </c>
    </row>
    <row r="93" spans="2:8" x14ac:dyDescent="0.25">
      <c r="B93" s="37">
        <v>46055</v>
      </c>
      <c r="C93" s="38" t="s">
        <v>7</v>
      </c>
      <c r="D93" s="38" t="s">
        <v>18</v>
      </c>
      <c r="E93" s="39">
        <v>6.99</v>
      </c>
      <c r="F93" s="38" t="s">
        <v>157</v>
      </c>
      <c r="G93" s="40" cm="1">
        <f t="array" ref="G93">SUMPRODUCT(Tracking[Amount],--(Tracking[Date]&lt;=Tracking[[#This Row],[Date]]),(Tracking[Type]&lt;&gt;"Income")*(-1) + (Tracking[Type]="Income"))</f>
        <v>95.729999999999407</v>
      </c>
      <c r="H93" s="41" cm="1">
        <f t="array" ref="H93">IF(AND(Tracking[[#This Row],[Type]]="Income",shift_late_income_status="Active",DAY(Tracking[[#This Row],[Date]])&gt;=shift_late_income_starting_day),DATE(YEAR(Tracking[[#This Row],[Date]]),MONTH(Tracking[[#This Row],[Date]])+1,1),Tracking[[#This Row],[Date]])</f>
        <v>46055</v>
      </c>
    </row>
    <row r="94" spans="2:8" x14ac:dyDescent="0.25">
      <c r="B94" s="37">
        <v>46055</v>
      </c>
      <c r="C94" s="38" t="s">
        <v>7</v>
      </c>
      <c r="D94" s="38" t="s">
        <v>19</v>
      </c>
      <c r="E94" s="39">
        <v>11.99</v>
      </c>
      <c r="F94" s="38" t="s">
        <v>91</v>
      </c>
      <c r="G94" s="40" cm="1">
        <f t="array" ref="G94">SUMPRODUCT(Tracking[Amount],--(Tracking[Date]&lt;=Tracking[[#This Row],[Date]]),(Tracking[Type]&lt;&gt;"Income")*(-1) + (Tracking[Type]="Income"))</f>
        <v>95.729999999999407</v>
      </c>
      <c r="H94" s="41" cm="1">
        <f t="array" ref="H94">IF(AND(Tracking[[#This Row],[Type]]="Income",shift_late_income_status="Active",DAY(Tracking[[#This Row],[Date]])&gt;=shift_late_income_starting_day),DATE(YEAR(Tracking[[#This Row],[Date]]),MONTH(Tracking[[#This Row],[Date]])+1,1),Tracking[[#This Row],[Date]])</f>
        <v>46055</v>
      </c>
    </row>
    <row r="95" spans="2:8" x14ac:dyDescent="0.25">
      <c r="B95" s="37">
        <v>46055</v>
      </c>
      <c r="C95" s="38" t="s">
        <v>7</v>
      </c>
      <c r="D95" s="38" t="s">
        <v>124</v>
      </c>
      <c r="E95" s="39">
        <v>25.23</v>
      </c>
      <c r="F95" s="38" t="s">
        <v>158</v>
      </c>
      <c r="G95" s="40" cm="1">
        <f t="array" ref="G95">SUMPRODUCT(Tracking[Amount],--(Tracking[Date]&lt;=Tracking[[#This Row],[Date]]),(Tracking[Type]&lt;&gt;"Income")*(-1) + (Tracking[Type]="Income"))</f>
        <v>95.729999999999407</v>
      </c>
      <c r="H95" s="41" cm="1">
        <f t="array" ref="H95">IF(AND(Tracking[[#This Row],[Type]]="Income",shift_late_income_status="Active",DAY(Tracking[[#This Row],[Date]])&gt;=shift_late_income_starting_day),DATE(YEAR(Tracking[[#This Row],[Date]]),MONTH(Tracking[[#This Row],[Date]])+1,1),Tracking[[#This Row],[Date]])</f>
        <v>46055</v>
      </c>
    </row>
    <row r="96" spans="2:8" x14ac:dyDescent="0.25">
      <c r="B96" s="37">
        <v>46055</v>
      </c>
      <c r="C96" s="38" t="s">
        <v>7</v>
      </c>
      <c r="D96" s="38" t="s">
        <v>22</v>
      </c>
      <c r="E96" s="39">
        <v>5.05</v>
      </c>
      <c r="F96" s="38" t="s">
        <v>160</v>
      </c>
      <c r="G96" s="40" cm="1">
        <f t="array" ref="G96">SUMPRODUCT(Tracking[Amount],--(Tracking[Date]&lt;=Tracking[[#This Row],[Date]]),(Tracking[Type]&lt;&gt;"Income")*(-1) + (Tracking[Type]="Income"))</f>
        <v>95.729999999999407</v>
      </c>
      <c r="H96" s="41" cm="1">
        <f t="array" ref="H96">IF(AND(Tracking[[#This Row],[Type]]="Income",shift_late_income_status="Active",DAY(Tracking[[#This Row],[Date]])&gt;=shift_late_income_starting_day),DATE(YEAR(Tracking[[#This Row],[Date]]),MONTH(Tracking[[#This Row],[Date]])+1,1),Tracking[[#This Row],[Date]])</f>
        <v>46055</v>
      </c>
    </row>
    <row r="97" spans="2:8" x14ac:dyDescent="0.25">
      <c r="B97" s="37">
        <v>46056</v>
      </c>
      <c r="C97" s="38" t="s">
        <v>1</v>
      </c>
      <c r="D97" s="38" t="s">
        <v>163</v>
      </c>
      <c r="E97" s="39">
        <v>1779.85</v>
      </c>
      <c r="F97" s="38" t="s">
        <v>164</v>
      </c>
      <c r="G97" s="40" cm="1">
        <f t="array" ref="G97">SUMPRODUCT(Tracking[Amount],--(Tracking[Date]&lt;=Tracking[[#This Row],[Date]]),(Tracking[Type]&lt;&gt;"Income")*(-1) + (Tracking[Type]="Income"))</f>
        <v>1875.5799999999992</v>
      </c>
      <c r="H97" s="41" cm="1">
        <f t="array" ref="H97">IF(AND(Tracking[[#This Row],[Type]]="Income",shift_late_income_status="Active",DAY(Tracking[[#This Row],[Date]])&gt;=shift_late_income_starting_day),DATE(YEAR(Tracking[[#This Row],[Date]]),MONTH(Tracking[[#This Row],[Date]])+1,1),Tracking[[#This Row],[Date]])</f>
        <v>46056</v>
      </c>
    </row>
    <row r="98" spans="2:8" x14ac:dyDescent="0.25">
      <c r="B98" s="37">
        <v>46057</v>
      </c>
      <c r="C98" s="38" t="s">
        <v>7</v>
      </c>
      <c r="D98" s="38" t="s">
        <v>18</v>
      </c>
      <c r="E98" s="39">
        <v>35</v>
      </c>
      <c r="F98" s="38" t="s">
        <v>165</v>
      </c>
      <c r="G98" s="40" cm="1">
        <f t="array" ref="G98">SUMPRODUCT(Tracking[Amount],--(Tracking[Date]&lt;=Tracking[[#This Row],[Date]]),(Tracking[Type]&lt;&gt;"Income")*(-1) + (Tracking[Type]="Income"))</f>
        <v>1840.5799999999992</v>
      </c>
      <c r="H98" s="41" cm="1">
        <f t="array" ref="H98">IF(AND(Tracking[[#This Row],[Type]]="Income",shift_late_income_status="Active",DAY(Tracking[[#This Row],[Date]])&gt;=shift_late_income_starting_day),DATE(YEAR(Tracking[[#This Row],[Date]]),MONTH(Tracking[[#This Row],[Date]])+1,1),Tracking[[#This Row],[Date]])</f>
        <v>46057</v>
      </c>
    </row>
    <row r="99" spans="2:8" x14ac:dyDescent="0.25">
      <c r="B99" s="37">
        <v>46058</v>
      </c>
      <c r="C99" s="38" t="s">
        <v>7</v>
      </c>
      <c r="D99" s="38" t="s">
        <v>18</v>
      </c>
      <c r="E99" s="39">
        <v>37.43</v>
      </c>
      <c r="F99" s="38" t="s">
        <v>165</v>
      </c>
      <c r="G99" s="40" cm="1">
        <f t="array" ref="G99">SUMPRODUCT(Tracking[Amount],--(Tracking[Date]&lt;=Tracking[[#This Row],[Date]]),(Tracking[Type]&lt;&gt;"Income")*(-1) + (Tracking[Type]="Income"))</f>
        <v>1737.4699999999991</v>
      </c>
      <c r="H99" s="41" cm="1">
        <f t="array" ref="H99">IF(AND(Tracking[[#This Row],[Type]]="Income",shift_late_income_status="Active",DAY(Tracking[[#This Row],[Date]])&gt;=shift_late_income_starting_day),DATE(YEAR(Tracking[[#This Row],[Date]]),MONTH(Tracking[[#This Row],[Date]])+1,1),Tracking[[#This Row],[Date]])</f>
        <v>46058</v>
      </c>
    </row>
    <row r="100" spans="2:8" x14ac:dyDescent="0.25">
      <c r="B100" s="37">
        <v>46058</v>
      </c>
      <c r="C100" s="38" t="s">
        <v>7</v>
      </c>
      <c r="D100" s="38" t="s">
        <v>19</v>
      </c>
      <c r="E100" s="39">
        <v>9.99</v>
      </c>
      <c r="F100" s="38" t="s">
        <v>166</v>
      </c>
      <c r="G100" s="40" cm="1">
        <f t="array" ref="G100">SUMPRODUCT(Tracking[Amount],--(Tracking[Date]&lt;=Tracking[[#This Row],[Date]]),(Tracking[Type]&lt;&gt;"Income")*(-1) + (Tracking[Type]="Income"))</f>
        <v>1737.4699999999991</v>
      </c>
      <c r="H100" s="41" cm="1">
        <f t="array" ref="H100">IF(AND(Tracking[[#This Row],[Type]]="Income",shift_late_income_status="Active",DAY(Tracking[[#This Row],[Date]])&gt;=shift_late_income_starting_day),DATE(YEAR(Tracking[[#This Row],[Date]]),MONTH(Tracking[[#This Row],[Date]])+1,1),Tracking[[#This Row],[Date]])</f>
        <v>46058</v>
      </c>
    </row>
    <row r="101" spans="2:8" x14ac:dyDescent="0.25">
      <c r="B101" s="37">
        <v>46058</v>
      </c>
      <c r="C101" s="38" t="s">
        <v>7</v>
      </c>
      <c r="D101" s="38" t="s">
        <v>19</v>
      </c>
      <c r="E101" s="39">
        <v>6</v>
      </c>
      <c r="F101" s="38" t="s">
        <v>167</v>
      </c>
      <c r="G101" s="40" cm="1">
        <f t="array" ref="G101">SUMPRODUCT(Tracking[Amount],--(Tracking[Date]&lt;=Tracking[[#This Row],[Date]]),(Tracking[Type]&lt;&gt;"Income")*(-1) + (Tracking[Type]="Income"))</f>
        <v>1737.4699999999991</v>
      </c>
      <c r="H101" s="41" cm="1">
        <f t="array" ref="H101">IF(AND(Tracking[[#This Row],[Type]]="Income",shift_late_income_status="Active",DAY(Tracking[[#This Row],[Date]])&gt;=shift_late_income_starting_day),DATE(YEAR(Tracking[[#This Row],[Date]]),MONTH(Tracking[[#This Row],[Date]])+1,1),Tracking[[#This Row],[Date]])</f>
        <v>46058</v>
      </c>
    </row>
    <row r="102" spans="2:8" x14ac:dyDescent="0.25">
      <c r="B102" s="37">
        <v>46058</v>
      </c>
      <c r="C102" s="38" t="s">
        <v>7</v>
      </c>
      <c r="D102" s="38" t="s">
        <v>19</v>
      </c>
      <c r="E102" s="39">
        <v>9.99</v>
      </c>
      <c r="F102" s="38" t="s">
        <v>101</v>
      </c>
      <c r="G102" s="40" cm="1">
        <f t="array" ref="G102">SUMPRODUCT(Tracking[Amount],--(Tracking[Date]&lt;=Tracking[[#This Row],[Date]]),(Tracking[Type]&lt;&gt;"Income")*(-1) + (Tracking[Type]="Income"))</f>
        <v>1737.4699999999991</v>
      </c>
      <c r="H102" s="41" cm="1">
        <f t="array" ref="H102">IF(AND(Tracking[[#This Row],[Type]]="Income",shift_late_income_status="Active",DAY(Tracking[[#This Row],[Date]])&gt;=shift_late_income_starting_day),DATE(YEAR(Tracking[[#This Row],[Date]]),MONTH(Tracking[[#This Row],[Date]])+1,1),Tracking[[#This Row],[Date]])</f>
        <v>46058</v>
      </c>
    </row>
    <row r="103" spans="2:8" x14ac:dyDescent="0.25">
      <c r="B103" s="37">
        <v>46059</v>
      </c>
      <c r="C103" s="38" t="s">
        <v>7</v>
      </c>
      <c r="D103" s="38" t="s">
        <v>125</v>
      </c>
      <c r="E103" s="39">
        <v>100</v>
      </c>
      <c r="F103" s="38" t="s">
        <v>168</v>
      </c>
      <c r="G103" s="40" cm="1">
        <f t="array" ref="G103">SUMPRODUCT(Tracking[Amount],--(Tracking[Date]&lt;=Tracking[[#This Row],[Date]]),(Tracking[Type]&lt;&gt;"Income")*(-1) + (Tracking[Type]="Income"))</f>
        <v>1577.5799999999992</v>
      </c>
      <c r="H103" s="41" cm="1">
        <f t="array" ref="H103">IF(AND(Tracking[[#This Row],[Type]]="Income",shift_late_income_status="Active",DAY(Tracking[[#This Row],[Date]])&gt;=shift_late_income_starting_day),DATE(YEAR(Tracking[[#This Row],[Date]]),MONTH(Tracking[[#This Row],[Date]])+1,1),Tracking[[#This Row],[Date]])</f>
        <v>46059</v>
      </c>
    </row>
    <row r="104" spans="2:8" x14ac:dyDescent="0.25">
      <c r="B104" s="37">
        <v>46059</v>
      </c>
      <c r="C104" s="38" t="s">
        <v>7</v>
      </c>
      <c r="D104" s="38" t="s">
        <v>19</v>
      </c>
      <c r="E104" s="39">
        <v>7.49</v>
      </c>
      <c r="F104" s="38" t="s">
        <v>111</v>
      </c>
      <c r="G104" s="40" cm="1">
        <f t="array" ref="G104">SUMPRODUCT(Tracking[Amount],--(Tracking[Date]&lt;=Tracking[[#This Row],[Date]]),(Tracking[Type]&lt;&gt;"Income")*(-1) + (Tracking[Type]="Income"))</f>
        <v>1577.5799999999992</v>
      </c>
      <c r="H104" s="41" cm="1">
        <f t="array" ref="H104">IF(AND(Tracking[[#This Row],[Type]]="Income",shift_late_income_status="Active",DAY(Tracking[[#This Row],[Date]])&gt;=shift_late_income_starting_day),DATE(YEAR(Tracking[[#This Row],[Date]]),MONTH(Tracking[[#This Row],[Date]])+1,1),Tracking[[#This Row],[Date]])</f>
        <v>46059</v>
      </c>
    </row>
    <row r="105" spans="2:8" x14ac:dyDescent="0.25">
      <c r="B105" s="37">
        <v>46059</v>
      </c>
      <c r="C105" s="38" t="s">
        <v>7</v>
      </c>
      <c r="D105" s="38" t="s">
        <v>18</v>
      </c>
      <c r="E105" s="39">
        <v>42.62</v>
      </c>
      <c r="F105" s="38" t="s">
        <v>169</v>
      </c>
      <c r="G105" s="40" cm="1">
        <f t="array" ref="G105">SUMPRODUCT(Tracking[Amount],--(Tracking[Date]&lt;=Tracking[[#This Row],[Date]]),(Tracking[Type]&lt;&gt;"Income")*(-1) + (Tracking[Type]="Income"))</f>
        <v>1577.5799999999992</v>
      </c>
      <c r="H105" s="41" cm="1">
        <f t="array" ref="H105">IF(AND(Tracking[[#This Row],[Type]]="Income",shift_late_income_status="Active",DAY(Tracking[[#This Row],[Date]])&gt;=shift_late_income_starting_day),DATE(YEAR(Tracking[[#This Row],[Date]]),MONTH(Tracking[[#This Row],[Date]])+1,1),Tracking[[#This Row],[Date]])</f>
        <v>46059</v>
      </c>
    </row>
    <row r="106" spans="2:8" x14ac:dyDescent="0.25">
      <c r="B106" s="37">
        <v>46059</v>
      </c>
      <c r="C106" s="38" t="s">
        <v>7</v>
      </c>
      <c r="D106" s="38" t="s">
        <v>15</v>
      </c>
      <c r="E106" s="39">
        <v>9.7799999999999994</v>
      </c>
      <c r="F106" s="38" t="s">
        <v>170</v>
      </c>
      <c r="G106" s="40" cm="1">
        <f t="array" ref="G106">SUMPRODUCT(Tracking[Amount],--(Tracking[Date]&lt;=Tracking[[#This Row],[Date]]),(Tracking[Type]&lt;&gt;"Income")*(-1) + (Tracking[Type]="Income"))</f>
        <v>1577.5799999999992</v>
      </c>
      <c r="H106" s="41" cm="1">
        <f t="array" ref="H106">IF(AND(Tracking[[#This Row],[Type]]="Income",shift_late_income_status="Active",DAY(Tracking[[#This Row],[Date]])&gt;=shift_late_income_starting_day),DATE(YEAR(Tracking[[#This Row],[Date]]),MONTH(Tracking[[#This Row],[Date]])+1,1),Tracking[[#This Row],[Date]])</f>
        <v>46059</v>
      </c>
    </row>
    <row r="107" spans="2:8" x14ac:dyDescent="0.25">
      <c r="B107" s="37">
        <v>46062</v>
      </c>
      <c r="C107" s="38" t="s">
        <v>7</v>
      </c>
      <c r="D107" s="38" t="s">
        <v>18</v>
      </c>
      <c r="E107" s="39">
        <v>17.5</v>
      </c>
      <c r="F107" s="38" t="s">
        <v>171</v>
      </c>
      <c r="G107" s="40" cm="1">
        <f t="array" ref="G107">SUMPRODUCT(Tracking[Amount],--(Tracking[Date]&lt;=Tracking[[#This Row],[Date]]),(Tracking[Type]&lt;&gt;"Income")*(-1) + (Tracking[Type]="Income"))</f>
        <v>1160.3599999999992</v>
      </c>
      <c r="H107" s="41" cm="1">
        <f t="array" ref="H107">IF(AND(Tracking[[#This Row],[Type]]="Income",shift_late_income_status="Active",DAY(Tracking[[#This Row],[Date]])&gt;=shift_late_income_starting_day),DATE(YEAR(Tracking[[#This Row],[Date]]),MONTH(Tracking[[#This Row],[Date]])+1,1),Tracking[[#This Row],[Date]])</f>
        <v>46062</v>
      </c>
    </row>
    <row r="108" spans="2:8" x14ac:dyDescent="0.25">
      <c r="B108" s="37">
        <v>46058</v>
      </c>
      <c r="C108" s="38" t="s">
        <v>7</v>
      </c>
      <c r="D108" s="38" t="s">
        <v>18</v>
      </c>
      <c r="E108" s="39">
        <v>15.77</v>
      </c>
      <c r="F108" s="38" t="s">
        <v>171</v>
      </c>
      <c r="G108" s="40" cm="1">
        <f t="array" ref="G108">SUMPRODUCT(Tracking[Amount],--(Tracking[Date]&lt;=Tracking[[#This Row],[Date]]),(Tracking[Type]&lt;&gt;"Income")*(-1) + (Tracking[Type]="Income"))</f>
        <v>1737.4699999999991</v>
      </c>
      <c r="H108" s="41" cm="1">
        <f t="array" ref="H108">IF(AND(Tracking[[#This Row],[Type]]="Income",shift_late_income_status="Active",DAY(Tracking[[#This Row],[Date]])&gt;=shift_late_income_starting_day),DATE(YEAR(Tracking[[#This Row],[Date]]),MONTH(Tracking[[#This Row],[Date]])+1,1),Tracking[[#This Row],[Date]])</f>
        <v>46058</v>
      </c>
    </row>
    <row r="109" spans="2:8" x14ac:dyDescent="0.25">
      <c r="B109" s="37">
        <v>46058</v>
      </c>
      <c r="C109" s="38" t="s">
        <v>7</v>
      </c>
      <c r="D109" s="38" t="s">
        <v>18</v>
      </c>
      <c r="E109" s="39">
        <v>23.93</v>
      </c>
      <c r="F109" s="38" t="s">
        <v>172</v>
      </c>
      <c r="G109" s="40" cm="1">
        <f t="array" ref="G109">SUMPRODUCT(Tracking[Amount],--(Tracking[Date]&lt;=Tracking[[#This Row],[Date]]),(Tracking[Type]&lt;&gt;"Income")*(-1) + (Tracking[Type]="Income"))</f>
        <v>1737.4699999999991</v>
      </c>
      <c r="H109" s="41" cm="1">
        <f t="array" ref="H109">IF(AND(Tracking[[#This Row],[Type]]="Income",shift_late_income_status="Active",DAY(Tracking[[#This Row],[Date]])&gt;=shift_late_income_starting_day),DATE(YEAR(Tracking[[#This Row],[Date]]),MONTH(Tracking[[#This Row],[Date]])+1,1),Tracking[[#This Row],[Date]])</f>
        <v>46058</v>
      </c>
    </row>
    <row r="110" spans="2:8" x14ac:dyDescent="0.25">
      <c r="B110" s="37">
        <v>46062</v>
      </c>
      <c r="C110" s="38" t="s">
        <v>7</v>
      </c>
      <c r="D110" s="38" t="s">
        <v>124</v>
      </c>
      <c r="E110" s="39">
        <v>174.2</v>
      </c>
      <c r="F110" s="38" t="s">
        <v>175</v>
      </c>
      <c r="G110" s="40" cm="1">
        <f t="array" ref="G110">SUMPRODUCT(Tracking[Amount],--(Tracking[Date]&lt;=Tracking[[#This Row],[Date]]),(Tracking[Type]&lt;&gt;"Income")*(-1) + (Tracking[Type]="Income"))</f>
        <v>1160.3599999999992</v>
      </c>
      <c r="H110" s="41" cm="1">
        <f t="array" ref="H110">IF(AND(Tracking[[#This Row],[Type]]="Income",shift_late_income_status="Active",DAY(Tracking[[#This Row],[Date]])&gt;=shift_late_income_starting_day),DATE(YEAR(Tracking[[#This Row],[Date]]),MONTH(Tracking[[#This Row],[Date]])+1,1),Tracking[[#This Row],[Date]])</f>
        <v>46062</v>
      </c>
    </row>
    <row r="111" spans="2:8" x14ac:dyDescent="0.25">
      <c r="B111" s="37">
        <v>46062</v>
      </c>
      <c r="C111" s="38" t="s">
        <v>7</v>
      </c>
      <c r="D111" s="38" t="s">
        <v>124</v>
      </c>
      <c r="E111" s="39">
        <v>28</v>
      </c>
      <c r="F111" s="38" t="s">
        <v>173</v>
      </c>
      <c r="G111" s="40" cm="1">
        <f t="array" ref="G111">SUMPRODUCT(Tracking[Amount],--(Tracking[Date]&lt;=Tracking[[#This Row],[Date]]),(Tracking[Type]&lt;&gt;"Income")*(-1) + (Tracking[Type]="Income"))</f>
        <v>1160.3599999999992</v>
      </c>
      <c r="H111" s="41" cm="1">
        <f t="array" ref="H111">IF(AND(Tracking[[#This Row],[Type]]="Income",shift_late_income_status="Active",DAY(Tracking[[#This Row],[Date]])&gt;=shift_late_income_starting_day),DATE(YEAR(Tracking[[#This Row],[Date]]),MONTH(Tracking[[#This Row],[Date]])+1,1),Tracking[[#This Row],[Date]])</f>
        <v>46062</v>
      </c>
    </row>
    <row r="112" spans="2:8" x14ac:dyDescent="0.25">
      <c r="B112" s="37">
        <v>46062</v>
      </c>
      <c r="C112" s="38" t="s">
        <v>7</v>
      </c>
      <c r="D112" s="38" t="s">
        <v>124</v>
      </c>
      <c r="E112" s="39">
        <v>164.2</v>
      </c>
      <c r="F112" s="38" t="s">
        <v>174</v>
      </c>
      <c r="G112" s="40" cm="1">
        <f t="array" ref="G112">SUMPRODUCT(Tracking[Amount],--(Tracking[Date]&lt;=Tracking[[#This Row],[Date]]),(Tracking[Type]&lt;&gt;"Income")*(-1) + (Tracking[Type]="Income"))</f>
        <v>1160.3599999999992</v>
      </c>
      <c r="H112" s="41" cm="1">
        <f t="array" ref="H112">IF(AND(Tracking[[#This Row],[Type]]="Income",shift_late_income_status="Active",DAY(Tracking[[#This Row],[Date]])&gt;=shift_late_income_starting_day),DATE(YEAR(Tracking[[#This Row],[Date]]),MONTH(Tracking[[#This Row],[Date]])+1,1),Tracking[[#This Row],[Date]])</f>
        <v>46062</v>
      </c>
    </row>
    <row r="113" spans="2:8" x14ac:dyDescent="0.25">
      <c r="B113" s="37">
        <v>46062</v>
      </c>
      <c r="C113" s="38" t="s">
        <v>7</v>
      </c>
      <c r="D113" s="38" t="s">
        <v>124</v>
      </c>
      <c r="E113" s="39">
        <v>27</v>
      </c>
      <c r="F113" s="38" t="s">
        <v>173</v>
      </c>
      <c r="G113" s="40" cm="1">
        <f t="array" ref="G113">SUMPRODUCT(Tracking[Amount],--(Tracking[Date]&lt;=Tracking[[#This Row],[Date]]),(Tracking[Type]&lt;&gt;"Income")*(-1) + (Tracking[Type]="Income"))</f>
        <v>1160.3599999999992</v>
      </c>
      <c r="H113" s="41" cm="1">
        <f t="array" ref="H113">IF(AND(Tracking[[#This Row],[Type]]="Income",shift_late_income_status="Active",DAY(Tracking[[#This Row],[Date]])&gt;=shift_late_income_starting_day),DATE(YEAR(Tracking[[#This Row],[Date]]),MONTH(Tracking[[#This Row],[Date]])+1,1),Tracking[[#This Row],[Date]])</f>
        <v>46062</v>
      </c>
    </row>
    <row r="114" spans="2:8" x14ac:dyDescent="0.25">
      <c r="B114" s="37">
        <v>46062</v>
      </c>
      <c r="C114" s="38" t="s">
        <v>7</v>
      </c>
      <c r="D114" s="38" t="s">
        <v>18</v>
      </c>
      <c r="E114" s="39">
        <v>6.32</v>
      </c>
      <c r="F114" s="38" t="s">
        <v>176</v>
      </c>
      <c r="G114" s="40" cm="1">
        <f t="array" ref="G114">SUMPRODUCT(Tracking[Amount],--(Tracking[Date]&lt;=Tracking[[#This Row],[Date]]),(Tracking[Type]&lt;&gt;"Income")*(-1) + (Tracking[Type]="Income"))</f>
        <v>1160.3599999999992</v>
      </c>
      <c r="H114" s="41" cm="1">
        <f t="array" ref="H114">IF(AND(Tracking[[#This Row],[Type]]="Income",shift_late_income_status="Active",DAY(Tracking[[#This Row],[Date]])&gt;=shift_late_income_starting_day),DATE(YEAR(Tracking[[#This Row],[Date]]),MONTH(Tracking[[#This Row],[Date]])+1,1),Tracking[[#This Row],[Date]])</f>
        <v>46062</v>
      </c>
    </row>
    <row r="115" spans="2:8" x14ac:dyDescent="0.25">
      <c r="B115" s="37">
        <v>46066</v>
      </c>
      <c r="C115" s="38" t="s">
        <v>1</v>
      </c>
      <c r="D115" s="38" t="s">
        <v>2</v>
      </c>
      <c r="E115" s="39">
        <v>2605.2199999999998</v>
      </c>
      <c r="F115" s="38"/>
      <c r="G115" s="40" cm="1">
        <f t="array" ref="G115">SUMPRODUCT(Tracking[Amount],--(Tracking[Date]&lt;=Tracking[[#This Row],[Date]]),(Tracking[Type]&lt;&gt;"Income")*(-1) + (Tracking[Type]="Income"))</f>
        <v>2878.1699999999996</v>
      </c>
      <c r="H115" s="41" cm="1">
        <f t="array" ref="H115">IF(AND(Tracking[[#This Row],[Type]]="Income",shift_late_income_status="Active",DAY(Tracking[[#This Row],[Date]])&gt;=shift_late_income_starting_day),DATE(YEAR(Tracking[[#This Row],[Date]]),MONTH(Tracking[[#This Row],[Date]])+1,1),Tracking[[#This Row],[Date]])</f>
        <v>46066</v>
      </c>
    </row>
    <row r="116" spans="2:8" x14ac:dyDescent="0.25">
      <c r="B116" s="37">
        <v>46066</v>
      </c>
      <c r="C116" s="38" t="s">
        <v>7</v>
      </c>
      <c r="D116" s="38" t="s">
        <v>9</v>
      </c>
      <c r="E116" s="39">
        <v>415.48</v>
      </c>
      <c r="F116" s="38"/>
      <c r="G116" s="40" cm="1">
        <f t="array" ref="G116">SUMPRODUCT(Tracking[Amount],--(Tracking[Date]&lt;=Tracking[[#This Row],[Date]]),(Tracking[Type]&lt;&gt;"Income")*(-1) + (Tracking[Type]="Income"))</f>
        <v>2878.1699999999996</v>
      </c>
      <c r="H116" s="41" cm="1">
        <f t="array" ref="H116">IF(AND(Tracking[[#This Row],[Type]]="Income",shift_late_income_status="Active",DAY(Tracking[[#This Row],[Date]])&gt;=shift_late_income_starting_day),DATE(YEAR(Tracking[[#This Row],[Date]]),MONTH(Tracking[[#This Row],[Date]])+1,1),Tracking[[#This Row],[Date]])</f>
        <v>46066</v>
      </c>
    </row>
    <row r="117" spans="2:8" x14ac:dyDescent="0.25">
      <c r="B117" s="37">
        <v>46066</v>
      </c>
      <c r="C117" s="38" t="s">
        <v>7</v>
      </c>
      <c r="D117" s="38" t="s">
        <v>10</v>
      </c>
      <c r="E117" s="39">
        <v>14.87</v>
      </c>
      <c r="F117" s="38"/>
      <c r="G117" s="40" cm="1">
        <f t="array" ref="G117">SUMPRODUCT(Tracking[Amount],--(Tracking[Date]&lt;=Tracking[[#This Row],[Date]]),(Tracking[Type]&lt;&gt;"Income")*(-1) + (Tracking[Type]="Income"))</f>
        <v>2878.1699999999996</v>
      </c>
      <c r="H117" s="41" cm="1">
        <f t="array" ref="H117">IF(AND(Tracking[[#This Row],[Type]]="Income",shift_late_income_status="Active",DAY(Tracking[[#This Row],[Date]])&gt;=shift_late_income_starting_day),DATE(YEAR(Tracking[[#This Row],[Date]]),MONTH(Tracking[[#This Row],[Date]])+1,1),Tracking[[#This Row],[Date]])</f>
        <v>46066</v>
      </c>
    </row>
    <row r="118" spans="2:8" x14ac:dyDescent="0.25">
      <c r="B118" s="37">
        <v>46066</v>
      </c>
      <c r="C118" s="38" t="s">
        <v>24</v>
      </c>
      <c r="D118" s="38" t="s">
        <v>106</v>
      </c>
      <c r="E118" s="39">
        <v>130.26</v>
      </c>
      <c r="F118" s="38"/>
      <c r="G118" s="40" cm="1">
        <f t="array" ref="G118">SUMPRODUCT(Tracking[Amount],--(Tracking[Date]&lt;=Tracking[[#This Row],[Date]]),(Tracking[Type]&lt;&gt;"Income")*(-1) + (Tracking[Type]="Income"))</f>
        <v>2878.1699999999996</v>
      </c>
      <c r="H118" s="41" cm="1">
        <f t="array" ref="H118">IF(AND(Tracking[[#This Row],[Type]]="Income",shift_late_income_status="Active",DAY(Tracking[[#This Row],[Date]])&gt;=shift_late_income_starting_day),DATE(YEAR(Tracking[[#This Row],[Date]]),MONTH(Tracking[[#This Row],[Date]])+1,1),Tracking[[#This Row],[Date]])</f>
        <v>46066</v>
      </c>
    </row>
    <row r="119" spans="2:8" x14ac:dyDescent="0.25">
      <c r="B119" s="37">
        <v>46065</v>
      </c>
      <c r="C119" s="38" t="s">
        <v>7</v>
      </c>
      <c r="D119" s="38" t="s">
        <v>16</v>
      </c>
      <c r="E119" s="39">
        <v>39.35</v>
      </c>
      <c r="F119" s="38" t="s">
        <v>13</v>
      </c>
      <c r="G119" s="40" cm="1">
        <f t="array" ref="G119">SUMPRODUCT(Tracking[Amount],--(Tracking[Date]&lt;=Tracking[[#This Row],[Date]]),(Tracking[Type]&lt;&gt;"Income")*(-1) + (Tracking[Type]="Income"))</f>
        <v>1079.9299999999994</v>
      </c>
      <c r="H119" s="41" cm="1">
        <f t="array" ref="H119">IF(AND(Tracking[[#This Row],[Type]]="Income",shift_late_income_status="Active",DAY(Tracking[[#This Row],[Date]])&gt;=shift_late_income_starting_day),DATE(YEAR(Tracking[[#This Row],[Date]]),MONTH(Tracking[[#This Row],[Date]])+1,1),Tracking[[#This Row],[Date]])</f>
        <v>46065</v>
      </c>
    </row>
    <row r="120" spans="2:8" x14ac:dyDescent="0.25">
      <c r="B120" s="37">
        <v>46065</v>
      </c>
      <c r="C120" s="38" t="s">
        <v>7</v>
      </c>
      <c r="D120" s="38" t="s">
        <v>18</v>
      </c>
      <c r="E120" s="39">
        <v>21.31</v>
      </c>
      <c r="F120" s="38" t="s">
        <v>97</v>
      </c>
      <c r="G120" s="40" cm="1">
        <f t="array" ref="G120">SUMPRODUCT(Tracking[Amount],--(Tracking[Date]&lt;=Tracking[[#This Row],[Date]]),(Tracking[Type]&lt;&gt;"Income")*(-1) + (Tracking[Type]="Income"))</f>
        <v>1079.9299999999994</v>
      </c>
      <c r="H120" s="41" cm="1">
        <f t="array" ref="H120">IF(AND(Tracking[[#This Row],[Type]]="Income",shift_late_income_status="Active",DAY(Tracking[[#This Row],[Date]])&gt;=shift_late_income_starting_day),DATE(YEAR(Tracking[[#This Row],[Date]]),MONTH(Tracking[[#This Row],[Date]])+1,1),Tracking[[#This Row],[Date]])</f>
        <v>46065</v>
      </c>
    </row>
    <row r="121" spans="2:8" x14ac:dyDescent="0.25">
      <c r="B121" s="37">
        <v>46065</v>
      </c>
      <c r="C121" s="38" t="s">
        <v>7</v>
      </c>
      <c r="D121" s="38" t="s">
        <v>15</v>
      </c>
      <c r="E121" s="39">
        <v>11.78</v>
      </c>
      <c r="F121" s="38" t="s">
        <v>180</v>
      </c>
      <c r="G121" s="40" cm="1">
        <f t="array" ref="G121">SUMPRODUCT(Tracking[Amount],--(Tracking[Date]&lt;=Tracking[[#This Row],[Date]]),(Tracking[Type]&lt;&gt;"Income")*(-1) + (Tracking[Type]="Income"))</f>
        <v>1079.9299999999994</v>
      </c>
      <c r="H121" s="41" cm="1">
        <f t="array" ref="H121">IF(AND(Tracking[[#This Row],[Type]]="Income",shift_late_income_status="Active",DAY(Tracking[[#This Row],[Date]])&gt;=shift_late_income_starting_day),DATE(YEAR(Tracking[[#This Row],[Date]]),MONTH(Tracking[[#This Row],[Date]])+1,1),Tracking[[#This Row],[Date]])</f>
        <v>46065</v>
      </c>
    </row>
    <row r="122" spans="2:8" x14ac:dyDescent="0.25">
      <c r="B122" s="37">
        <v>46065</v>
      </c>
      <c r="C122" s="38" t="s">
        <v>7</v>
      </c>
      <c r="D122" s="38" t="s">
        <v>19</v>
      </c>
      <c r="E122" s="39">
        <v>7.99</v>
      </c>
      <c r="F122" s="38" t="s">
        <v>121</v>
      </c>
      <c r="G122" s="40" cm="1">
        <f t="array" ref="G122">SUMPRODUCT(Tracking[Amount],--(Tracking[Date]&lt;=Tracking[[#This Row],[Date]]),(Tracking[Type]&lt;&gt;"Income")*(-1) + (Tracking[Type]="Income"))</f>
        <v>1079.9299999999994</v>
      </c>
      <c r="H122" s="41" cm="1">
        <f t="array" ref="H122">IF(AND(Tracking[[#This Row],[Type]]="Income",shift_late_income_status="Active",DAY(Tracking[[#This Row],[Date]])&gt;=shift_late_income_starting_day),DATE(YEAR(Tracking[[#This Row],[Date]]),MONTH(Tracking[[#This Row],[Date]])+1,1),Tracking[[#This Row],[Date]])</f>
        <v>46065</v>
      </c>
    </row>
    <row r="123" spans="2:8" x14ac:dyDescent="0.25">
      <c r="B123" s="37">
        <v>46066</v>
      </c>
      <c r="C123" s="38" t="s">
        <v>7</v>
      </c>
      <c r="D123" s="38" t="s">
        <v>12</v>
      </c>
      <c r="E123" s="39">
        <v>202.4</v>
      </c>
      <c r="F123" s="38"/>
      <c r="G123" s="40" cm="1">
        <f t="array" ref="G123">SUMPRODUCT(Tracking[Amount],--(Tracking[Date]&lt;=Tracking[[#This Row],[Date]]),(Tracking[Type]&lt;&gt;"Income")*(-1) + (Tracking[Type]="Income"))</f>
        <v>2878.1699999999996</v>
      </c>
      <c r="H123" s="41" cm="1">
        <f t="array" ref="H123">IF(AND(Tracking[[#This Row],[Type]]="Income",shift_late_income_status="Active",DAY(Tracking[[#This Row],[Date]])&gt;=shift_late_income_starting_day),DATE(YEAR(Tracking[[#This Row],[Date]]),MONTH(Tracking[[#This Row],[Date]])+1,1),Tracking[[#This Row],[Date]])</f>
        <v>46066</v>
      </c>
    </row>
    <row r="124" spans="2:8" x14ac:dyDescent="0.25">
      <c r="B124" s="37">
        <v>46066</v>
      </c>
      <c r="C124" s="38" t="s">
        <v>7</v>
      </c>
      <c r="D124" s="38" t="s">
        <v>18</v>
      </c>
      <c r="E124" s="39">
        <v>29.98</v>
      </c>
      <c r="F124" s="38" t="s">
        <v>181</v>
      </c>
      <c r="G124" s="40" cm="1">
        <f t="array" ref="G124">SUMPRODUCT(Tracking[Amount],--(Tracking[Date]&lt;=Tracking[[#This Row],[Date]]),(Tracking[Type]&lt;&gt;"Income")*(-1) + (Tracking[Type]="Income"))</f>
        <v>2878.1699999999996</v>
      </c>
      <c r="H124" s="41" cm="1">
        <f t="array" ref="H124">IF(AND(Tracking[[#This Row],[Type]]="Income",shift_late_income_status="Active",DAY(Tracking[[#This Row],[Date]])&gt;=shift_late_income_starting_day),DATE(YEAR(Tracking[[#This Row],[Date]]),MONTH(Tracking[[#This Row],[Date]])+1,1),Tracking[[#This Row],[Date]])</f>
        <v>46066</v>
      </c>
    </row>
    <row r="125" spans="2:8" x14ac:dyDescent="0.25">
      <c r="B125" s="37">
        <v>46066</v>
      </c>
      <c r="C125" s="38" t="s">
        <v>7</v>
      </c>
      <c r="D125" s="38" t="s">
        <v>19</v>
      </c>
      <c r="E125" s="39">
        <v>13.99</v>
      </c>
      <c r="F125" s="38" t="s">
        <v>182</v>
      </c>
      <c r="G125" s="40" cm="1">
        <f t="array" ref="G125">SUMPRODUCT(Tracking[Amount],--(Tracking[Date]&lt;=Tracking[[#This Row],[Date]]),(Tracking[Type]&lt;&gt;"Income")*(-1) + (Tracking[Type]="Income"))</f>
        <v>2878.1699999999996</v>
      </c>
      <c r="H125" s="41" cm="1">
        <f t="array" ref="H125">IF(AND(Tracking[[#This Row],[Type]]="Income",shift_late_income_status="Active",DAY(Tracking[[#This Row],[Date]])&gt;=shift_late_income_starting_day),DATE(YEAR(Tracking[[#This Row],[Date]]),MONTH(Tracking[[#This Row],[Date]])+1,1),Tracking[[#This Row],[Date]])</f>
        <v>46066</v>
      </c>
    </row>
    <row r="126" spans="2:8" x14ac:dyDescent="0.25">
      <c r="B126" s="37">
        <v>46067</v>
      </c>
      <c r="C126" s="38" t="s">
        <v>7</v>
      </c>
      <c r="D126" s="38" t="s">
        <v>18</v>
      </c>
      <c r="E126" s="39">
        <v>19.2</v>
      </c>
      <c r="F126" s="38" t="s">
        <v>183</v>
      </c>
      <c r="G126" s="40" cm="1">
        <f t="array" ref="G126">SUMPRODUCT(Tracking[Amount],--(Tracking[Date]&lt;=Tracking[[#This Row],[Date]]),(Tracking[Type]&lt;&gt;"Income")*(-1) + (Tracking[Type]="Income"))</f>
        <v>2858.97</v>
      </c>
      <c r="H126" s="41" cm="1">
        <f t="array" ref="H126">IF(AND(Tracking[[#This Row],[Type]]="Income",shift_late_income_status="Active",DAY(Tracking[[#This Row],[Date]])&gt;=shift_late_income_starting_day),DATE(YEAR(Tracking[[#This Row],[Date]]),MONTH(Tracking[[#This Row],[Date]])+1,1),Tracking[[#This Row],[Date]])</f>
        <v>46067</v>
      </c>
    </row>
    <row r="127" spans="2:8" x14ac:dyDescent="0.25">
      <c r="B127" s="37">
        <v>46068</v>
      </c>
      <c r="C127" s="38" t="s">
        <v>7</v>
      </c>
      <c r="D127" s="38" t="s">
        <v>18</v>
      </c>
      <c r="E127" s="39">
        <v>19.260000000000002</v>
      </c>
      <c r="F127" s="38" t="s">
        <v>99</v>
      </c>
      <c r="G127" s="40" cm="1">
        <f t="array" ref="G127">SUMPRODUCT(Tracking[Amount],--(Tracking[Date]&lt;=Tracking[[#This Row],[Date]]),(Tracking[Type]&lt;&gt;"Income")*(-1) + (Tracking[Type]="Income"))</f>
        <v>2839.7099999999996</v>
      </c>
      <c r="H127" s="41" cm="1">
        <f t="array" ref="H127">IF(AND(Tracking[[#This Row],[Type]]="Income",shift_late_income_status="Active",DAY(Tracking[[#This Row],[Date]])&gt;=shift_late_income_starting_day),DATE(YEAR(Tracking[[#This Row],[Date]]),MONTH(Tracking[[#This Row],[Date]])+1,1),Tracking[[#This Row],[Date]])</f>
        <v>46068</v>
      </c>
    </row>
    <row r="128" spans="2:8" x14ac:dyDescent="0.25">
      <c r="B128" s="37">
        <v>46069</v>
      </c>
      <c r="C128" s="38" t="s">
        <v>7</v>
      </c>
      <c r="D128" s="38" t="s">
        <v>18</v>
      </c>
      <c r="E128" s="39">
        <v>19.489999999999998</v>
      </c>
      <c r="F128" s="38" t="s">
        <v>184</v>
      </c>
      <c r="G128" s="40" cm="1">
        <f t="array" ref="G128">SUMPRODUCT(Tracking[Amount],--(Tracking[Date]&lt;=Tracking[[#This Row],[Date]]),(Tracking[Type]&lt;&gt;"Income")*(-1) + (Tracking[Type]="Income"))</f>
        <v>2820.22</v>
      </c>
      <c r="H128" s="41" cm="1">
        <f t="array" ref="H128">IF(AND(Tracking[[#This Row],[Type]]="Income",shift_late_income_status="Active",DAY(Tracking[[#This Row],[Date]])&gt;=shift_late_income_starting_day),DATE(YEAR(Tracking[[#This Row],[Date]]),MONTH(Tracking[[#This Row],[Date]])+1,1),Tracking[[#This Row],[Date]])</f>
        <v>46069</v>
      </c>
    </row>
    <row r="129" spans="2:8" x14ac:dyDescent="0.25">
      <c r="B129" s="37">
        <v>46070</v>
      </c>
      <c r="C129" s="38" t="s">
        <v>7</v>
      </c>
      <c r="D129" s="38" t="s">
        <v>22</v>
      </c>
      <c r="E129" s="39">
        <v>14.08</v>
      </c>
      <c r="F129" s="38" t="s">
        <v>185</v>
      </c>
      <c r="G129" s="40" cm="1">
        <f t="array" ref="G129">SUMPRODUCT(Tracking[Amount],--(Tracking[Date]&lt;=Tracking[[#This Row],[Date]]),(Tracking[Type]&lt;&gt;"Income")*(-1) + (Tracking[Type]="Income"))</f>
        <v>2532.2399999999998</v>
      </c>
      <c r="H129" s="41" cm="1">
        <f t="array" ref="H129">IF(AND(Tracking[[#This Row],[Type]]="Income",shift_late_income_status="Active",DAY(Tracking[[#This Row],[Date]])&gt;=shift_late_income_starting_day),DATE(YEAR(Tracking[[#This Row],[Date]]),MONTH(Tracking[[#This Row],[Date]])+1,1),Tracking[[#This Row],[Date]])</f>
        <v>46070</v>
      </c>
    </row>
    <row r="130" spans="2:8" x14ac:dyDescent="0.25">
      <c r="B130" s="37">
        <v>46070</v>
      </c>
      <c r="C130" s="38" t="s">
        <v>7</v>
      </c>
      <c r="D130" s="38" t="s">
        <v>20</v>
      </c>
      <c r="E130" s="39">
        <v>123.9</v>
      </c>
      <c r="F130" s="38" t="s">
        <v>186</v>
      </c>
      <c r="G130" s="40" cm="1">
        <f t="array" ref="G130">SUMPRODUCT(Tracking[Amount],--(Tracking[Date]&lt;=Tracking[[#This Row],[Date]]),(Tracking[Type]&lt;&gt;"Income")*(-1) + (Tracking[Type]="Income"))</f>
        <v>2532.2399999999998</v>
      </c>
      <c r="H130" s="41" cm="1">
        <f t="array" ref="H130">IF(AND(Tracking[[#This Row],[Type]]="Income",shift_late_income_status="Active",DAY(Tracking[[#This Row],[Date]])&gt;=shift_late_income_starting_day),DATE(YEAR(Tracking[[#This Row],[Date]]),MONTH(Tracking[[#This Row],[Date]])+1,1),Tracking[[#This Row],[Date]])</f>
        <v>46070</v>
      </c>
    </row>
    <row r="131" spans="2:8" x14ac:dyDescent="0.25">
      <c r="B131" s="37">
        <v>46070</v>
      </c>
      <c r="C131" s="38" t="s">
        <v>7</v>
      </c>
      <c r="D131" s="38" t="s">
        <v>125</v>
      </c>
      <c r="E131" s="39">
        <v>150</v>
      </c>
      <c r="F131" s="38" t="s">
        <v>187</v>
      </c>
      <c r="G131" s="40" cm="1">
        <f t="array" ref="G131">SUMPRODUCT(Tracking[Amount],--(Tracking[Date]&lt;=Tracking[[#This Row],[Date]]),(Tracking[Type]&lt;&gt;"Income")*(-1) + (Tracking[Type]="Income"))</f>
        <v>2532.2399999999998</v>
      </c>
      <c r="H131" s="41" cm="1">
        <f t="array" ref="H131">IF(AND(Tracking[[#This Row],[Type]]="Income",shift_late_income_status="Active",DAY(Tracking[[#This Row],[Date]])&gt;=shift_late_income_starting_day),DATE(YEAR(Tracking[[#This Row],[Date]]),MONTH(Tracking[[#This Row],[Date]])+1,1),Tracking[[#This Row],[Date]])</f>
        <v>46070</v>
      </c>
    </row>
    <row r="132" spans="2:8" x14ac:dyDescent="0.25">
      <c r="B132" s="37">
        <v>46071</v>
      </c>
      <c r="C132" s="38" t="s">
        <v>7</v>
      </c>
      <c r="D132" s="38" t="s">
        <v>124</v>
      </c>
      <c r="E132" s="39">
        <v>5.99</v>
      </c>
      <c r="F132" s="38" t="s">
        <v>188</v>
      </c>
      <c r="G132" s="40" cm="1">
        <f t="array" ref="G132">SUMPRODUCT(Tracking[Amount],--(Tracking[Date]&lt;=Tracking[[#This Row],[Date]]),(Tracking[Type]&lt;&gt;"Income")*(-1) + (Tracking[Type]="Income"))</f>
        <v>2513.36</v>
      </c>
      <c r="H132" s="41" cm="1">
        <f t="array" ref="H132">IF(AND(Tracking[[#This Row],[Type]]="Income",shift_late_income_status="Active",DAY(Tracking[[#This Row],[Date]])&gt;=shift_late_income_starting_day),DATE(YEAR(Tracking[[#This Row],[Date]]),MONTH(Tracking[[#This Row],[Date]])+1,1),Tracking[[#This Row],[Date]])</f>
        <v>46071</v>
      </c>
    </row>
    <row r="133" spans="2:8" x14ac:dyDescent="0.25">
      <c r="B133" s="37">
        <v>46071</v>
      </c>
      <c r="C133" s="38" t="s">
        <v>7</v>
      </c>
      <c r="D133" s="38" t="s">
        <v>18</v>
      </c>
      <c r="E133" s="39">
        <v>12.89</v>
      </c>
      <c r="F133" s="38" t="s">
        <v>189</v>
      </c>
      <c r="G133" s="40" cm="1">
        <f t="array" ref="G133">SUMPRODUCT(Tracking[Amount],--(Tracking[Date]&lt;=Tracking[[#This Row],[Date]]),(Tracking[Type]&lt;&gt;"Income")*(-1) + (Tracking[Type]="Income"))</f>
        <v>2513.36</v>
      </c>
      <c r="H133" s="41" cm="1">
        <f t="array" ref="H133">IF(AND(Tracking[[#This Row],[Type]]="Income",shift_late_income_status="Active",DAY(Tracking[[#This Row],[Date]])&gt;=shift_late_income_starting_day),DATE(YEAR(Tracking[[#This Row],[Date]]),MONTH(Tracking[[#This Row],[Date]])+1,1),Tracking[[#This Row],[Date]])</f>
        <v>46071</v>
      </c>
    </row>
    <row r="134" spans="2:8" x14ac:dyDescent="0.25">
      <c r="B134" s="37"/>
      <c r="C134" s="38"/>
      <c r="D134" s="38"/>
      <c r="E134" s="39"/>
      <c r="F134" s="38"/>
      <c r="G134" s="40" cm="1">
        <f t="array" ref="G134">SUMPRODUCT(Tracking[Amount],--(Tracking[Date]&lt;=Tracking[[#This Row],[Date]]),(Tracking[Type]&lt;&gt;"Income")*(-1) + (Tracking[Type]="Income"))</f>
        <v>0</v>
      </c>
      <c r="H134" s="41" cm="1">
        <f t="array" ref="H134">IF(AND(Tracking[[#This Row],[Type]]="Income",shift_late_income_status="Active",DAY(Tracking[[#This Row],[Date]])&gt;=shift_late_income_starting_day),DATE(YEAR(Tracking[[#This Row],[Date]]),MONTH(Tracking[[#This Row],[Date]])+1,1),Tracking[[#This Row],[Date]])</f>
        <v>0</v>
      </c>
    </row>
    <row r="135" spans="2:8" x14ac:dyDescent="0.25">
      <c r="B135" s="37"/>
      <c r="C135" s="38"/>
      <c r="D135" s="38"/>
      <c r="E135" s="39"/>
      <c r="F135" s="38"/>
      <c r="G135" s="40" cm="1">
        <f t="array" ref="G135">SUMPRODUCT(Tracking[Amount],--(Tracking[Date]&lt;=Tracking[[#This Row],[Date]]),(Tracking[Type]&lt;&gt;"Income")*(-1) + (Tracking[Type]="Income"))</f>
        <v>0</v>
      </c>
      <c r="H135" s="41" cm="1">
        <f t="array" ref="H135">IF(AND(Tracking[[#This Row],[Type]]="Income",shift_late_income_status="Active",DAY(Tracking[[#This Row],[Date]])&gt;=shift_late_income_starting_day),DATE(YEAR(Tracking[[#This Row],[Date]]),MONTH(Tracking[[#This Row],[Date]])+1,1),Tracking[[#This Row],[Date]])</f>
        <v>0</v>
      </c>
    </row>
    <row r="136" spans="2:8" x14ac:dyDescent="0.25">
      <c r="B136" s="37"/>
      <c r="C136" s="38"/>
      <c r="D136" s="38"/>
      <c r="E136" s="39"/>
      <c r="F136" s="38"/>
      <c r="G136" s="40" cm="1">
        <f t="array" ref="G136">SUMPRODUCT(Tracking[Amount],--(Tracking[Date]&lt;=Tracking[[#This Row],[Date]]),(Tracking[Type]&lt;&gt;"Income")*(-1) + (Tracking[Type]="Income"))</f>
        <v>0</v>
      </c>
      <c r="H136" s="41" cm="1">
        <f t="array" ref="H136">IF(AND(Tracking[[#This Row],[Type]]="Income",shift_late_income_status="Active",DAY(Tracking[[#This Row],[Date]])&gt;=shift_late_income_starting_day),DATE(YEAR(Tracking[[#This Row],[Date]]),MONTH(Tracking[[#This Row],[Date]])+1,1),Tracking[[#This Row],[Date]])</f>
        <v>0</v>
      </c>
    </row>
    <row r="137" spans="2:8" x14ac:dyDescent="0.25">
      <c r="B137" s="37"/>
      <c r="C137" s="38"/>
      <c r="D137" s="38"/>
      <c r="E137" s="39"/>
      <c r="F137" s="38"/>
      <c r="G137" s="40" cm="1">
        <f t="array" ref="G137">SUMPRODUCT(Tracking[Amount],--(Tracking[Date]&lt;=Tracking[[#This Row],[Date]]),(Tracking[Type]&lt;&gt;"Income")*(-1) + (Tracking[Type]="Income"))</f>
        <v>0</v>
      </c>
      <c r="H137" s="41" cm="1">
        <f t="array" ref="H137">IF(AND(Tracking[[#This Row],[Type]]="Income",shift_late_income_status="Active",DAY(Tracking[[#This Row],[Date]])&gt;=shift_late_income_starting_day),DATE(YEAR(Tracking[[#This Row],[Date]]),MONTH(Tracking[[#This Row],[Date]])+1,1),Tracking[[#This Row],[Date]])</f>
        <v>0</v>
      </c>
    </row>
    <row r="138" spans="2:8" x14ac:dyDescent="0.25">
      <c r="B138" s="37"/>
      <c r="C138" s="38"/>
      <c r="D138" s="38"/>
      <c r="E138" s="39"/>
      <c r="F138" s="38"/>
      <c r="G138" s="40" cm="1">
        <f t="array" ref="G138">SUMPRODUCT(Tracking[Amount],--(Tracking[Date]&lt;=Tracking[[#This Row],[Date]]),(Tracking[Type]&lt;&gt;"Income")*(-1) + (Tracking[Type]="Income"))</f>
        <v>0</v>
      </c>
      <c r="H138" s="41" cm="1">
        <f t="array" ref="H138">IF(AND(Tracking[[#This Row],[Type]]="Income",shift_late_income_status="Active",DAY(Tracking[[#This Row],[Date]])&gt;=shift_late_income_starting_day),DATE(YEAR(Tracking[[#This Row],[Date]]),MONTH(Tracking[[#This Row],[Date]])+1,1),Tracking[[#This Row],[Date]])</f>
        <v>0</v>
      </c>
    </row>
    <row r="139" spans="2:8" x14ac:dyDescent="0.25">
      <c r="B139" s="37"/>
      <c r="C139" s="38"/>
      <c r="D139" s="38"/>
      <c r="E139" s="39"/>
      <c r="F139" s="38"/>
      <c r="G139" s="40" cm="1">
        <f t="array" ref="G139">SUMPRODUCT(Tracking[Amount],--(Tracking[Date]&lt;=Tracking[[#This Row],[Date]]),(Tracking[Type]&lt;&gt;"Income")*(-1) + (Tracking[Type]="Income"))</f>
        <v>0</v>
      </c>
      <c r="H139" s="41" cm="1">
        <f t="array" ref="H139">IF(AND(Tracking[[#This Row],[Type]]="Income",shift_late_income_status="Active",DAY(Tracking[[#This Row],[Date]])&gt;=shift_late_income_starting_day),DATE(YEAR(Tracking[[#This Row],[Date]]),MONTH(Tracking[[#This Row],[Date]])+1,1),Tracking[[#This Row],[Date]])</f>
        <v>0</v>
      </c>
    </row>
    <row r="140" spans="2:8" x14ac:dyDescent="0.25">
      <c r="B140" s="37"/>
      <c r="C140" s="38"/>
      <c r="D140" s="38"/>
      <c r="E140" s="39"/>
      <c r="F140" s="38"/>
      <c r="G140" s="40" cm="1">
        <f t="array" ref="G140">SUMPRODUCT(Tracking[Amount],--(Tracking[Date]&lt;=Tracking[[#This Row],[Date]]),(Tracking[Type]&lt;&gt;"Income")*(-1) + (Tracking[Type]="Income"))</f>
        <v>0</v>
      </c>
      <c r="H140" s="41" cm="1">
        <f t="array" ref="H140">IF(AND(Tracking[[#This Row],[Type]]="Income",shift_late_income_status="Active",DAY(Tracking[[#This Row],[Date]])&gt;=shift_late_income_starting_day),DATE(YEAR(Tracking[[#This Row],[Date]]),MONTH(Tracking[[#This Row],[Date]])+1,1),Tracking[[#This Row],[Date]])</f>
        <v>0</v>
      </c>
    </row>
    <row r="141" spans="2:8" x14ac:dyDescent="0.25">
      <c r="B141" s="37"/>
      <c r="C141" s="38"/>
      <c r="D141" s="38"/>
      <c r="E141" s="39"/>
      <c r="F141" s="38"/>
      <c r="G141" s="40" cm="1">
        <f t="array" ref="G141">SUMPRODUCT(Tracking[Amount],--(Tracking[Date]&lt;=Tracking[[#This Row],[Date]]),(Tracking[Type]&lt;&gt;"Income")*(-1) + (Tracking[Type]="Income"))</f>
        <v>0</v>
      </c>
      <c r="H141" s="41" cm="1">
        <f t="array" ref="H141">IF(AND(Tracking[[#This Row],[Type]]="Income",shift_late_income_status="Active",DAY(Tracking[[#This Row],[Date]])&gt;=shift_late_income_starting_day),DATE(YEAR(Tracking[[#This Row],[Date]]),MONTH(Tracking[[#This Row],[Date]])+1,1),Tracking[[#This Row],[Date]])</f>
        <v>0</v>
      </c>
    </row>
    <row r="142" spans="2:8" x14ac:dyDescent="0.25">
      <c r="B142" s="37"/>
      <c r="C142" s="38"/>
      <c r="D142" s="38"/>
      <c r="E142" s="39"/>
      <c r="F142" s="38"/>
      <c r="G142" s="40" cm="1">
        <f t="array" ref="G142">SUMPRODUCT(Tracking[Amount],--(Tracking[Date]&lt;=Tracking[[#This Row],[Date]]),(Tracking[Type]&lt;&gt;"Income")*(-1) + (Tracking[Type]="Income"))</f>
        <v>0</v>
      </c>
      <c r="H142" s="41" cm="1">
        <f t="array" ref="H142">IF(AND(Tracking[[#This Row],[Type]]="Income",shift_late_income_status="Active",DAY(Tracking[[#This Row],[Date]])&gt;=shift_late_income_starting_day),DATE(YEAR(Tracking[[#This Row],[Date]]),MONTH(Tracking[[#This Row],[Date]])+1,1),Tracking[[#This Row],[Date]])</f>
        <v>0</v>
      </c>
    </row>
    <row r="143" spans="2:8" x14ac:dyDescent="0.25">
      <c r="B143" s="37"/>
      <c r="C143" s="38"/>
      <c r="D143" s="38"/>
      <c r="E143" s="39"/>
      <c r="F143" s="38"/>
      <c r="G143" s="40" cm="1">
        <f t="array" ref="G143">SUMPRODUCT(Tracking[Amount],--(Tracking[Date]&lt;=Tracking[[#This Row],[Date]]),(Tracking[Type]&lt;&gt;"Income")*(-1) + (Tracking[Type]="Income"))</f>
        <v>0</v>
      </c>
      <c r="H143" s="41" cm="1">
        <f t="array" ref="H143">IF(AND(Tracking[[#This Row],[Type]]="Income",shift_late_income_status="Active",DAY(Tracking[[#This Row],[Date]])&gt;=shift_late_income_starting_day),DATE(YEAR(Tracking[[#This Row],[Date]]),MONTH(Tracking[[#This Row],[Date]])+1,1),Tracking[[#This Row],[Date]])</f>
        <v>0</v>
      </c>
    </row>
    <row r="144" spans="2:8" x14ac:dyDescent="0.25">
      <c r="B144" s="37"/>
      <c r="C144" s="38"/>
      <c r="D144" s="38"/>
      <c r="E144" s="39"/>
      <c r="F144" s="38"/>
      <c r="G144" s="40" cm="1">
        <f t="array" ref="G144">SUMPRODUCT(Tracking[Amount],--(Tracking[Date]&lt;=Tracking[[#This Row],[Date]]),(Tracking[Type]&lt;&gt;"Income")*(-1) + (Tracking[Type]="Income"))</f>
        <v>0</v>
      </c>
      <c r="H144" s="41" cm="1">
        <f t="array" ref="H144">IF(AND(Tracking[[#This Row],[Type]]="Income",shift_late_income_status="Active",DAY(Tracking[[#This Row],[Date]])&gt;=shift_late_income_starting_day),DATE(YEAR(Tracking[[#This Row],[Date]]),MONTH(Tracking[[#This Row],[Date]])+1,1),Tracking[[#This Row],[Date]])</f>
        <v>0</v>
      </c>
    </row>
    <row r="145" spans="2:8" x14ac:dyDescent="0.25">
      <c r="B145" s="37"/>
      <c r="C145" s="38"/>
      <c r="D145" s="38"/>
      <c r="E145" s="39"/>
      <c r="F145" s="38"/>
      <c r="G145" s="40" cm="1">
        <f t="array" ref="G145">SUMPRODUCT(Tracking[Amount],--(Tracking[Date]&lt;=Tracking[[#This Row],[Date]]),(Tracking[Type]&lt;&gt;"Income")*(-1) + (Tracking[Type]="Income"))</f>
        <v>0</v>
      </c>
      <c r="H145" s="41" cm="1">
        <f t="array" ref="H145">IF(AND(Tracking[[#This Row],[Type]]="Income",shift_late_income_status="Active",DAY(Tracking[[#This Row],[Date]])&gt;=shift_late_income_starting_day),DATE(YEAR(Tracking[[#This Row],[Date]]),MONTH(Tracking[[#This Row],[Date]])+1,1),Tracking[[#This Row],[Date]])</f>
        <v>0</v>
      </c>
    </row>
    <row r="146" spans="2:8" x14ac:dyDescent="0.25">
      <c r="B146" s="37"/>
      <c r="C146" s="38"/>
      <c r="D146" s="38"/>
      <c r="E146" s="39"/>
      <c r="F146" s="38"/>
      <c r="G146" s="40" cm="1">
        <f t="array" ref="G146">SUMPRODUCT(Tracking[Amount],--(Tracking[Date]&lt;=Tracking[[#This Row],[Date]]),(Tracking[Type]&lt;&gt;"Income")*(-1) + (Tracking[Type]="Income"))</f>
        <v>0</v>
      </c>
      <c r="H146" s="41" cm="1">
        <f t="array" ref="H146">IF(AND(Tracking[[#This Row],[Type]]="Income",shift_late_income_status="Active",DAY(Tracking[[#This Row],[Date]])&gt;=shift_late_income_starting_day),DATE(YEAR(Tracking[[#This Row],[Date]]),MONTH(Tracking[[#This Row],[Date]])+1,1),Tracking[[#This Row],[Date]])</f>
        <v>0</v>
      </c>
    </row>
    <row r="147" spans="2:8" x14ac:dyDescent="0.25">
      <c r="B147" s="37"/>
      <c r="C147" s="38"/>
      <c r="D147" s="38"/>
      <c r="E147" s="39"/>
      <c r="F147" s="38"/>
      <c r="G147" s="40" cm="1">
        <f t="array" ref="G147">SUMPRODUCT(Tracking[Amount],--(Tracking[Date]&lt;=Tracking[[#This Row],[Date]]),(Tracking[Type]&lt;&gt;"Income")*(-1) + (Tracking[Type]="Income"))</f>
        <v>0</v>
      </c>
      <c r="H147" s="41" cm="1">
        <f t="array" ref="H147">IF(AND(Tracking[[#This Row],[Type]]="Income",shift_late_income_status="Active",DAY(Tracking[[#This Row],[Date]])&gt;=shift_late_income_starting_day),DATE(YEAR(Tracking[[#This Row],[Date]]),MONTH(Tracking[[#This Row],[Date]])+1,1),Tracking[[#This Row],[Date]])</f>
        <v>0</v>
      </c>
    </row>
    <row r="148" spans="2:8" x14ac:dyDescent="0.25">
      <c r="B148" s="37"/>
      <c r="C148" s="38"/>
      <c r="D148" s="38"/>
      <c r="E148" s="39"/>
      <c r="F148" s="38"/>
      <c r="G148" s="40" cm="1">
        <f t="array" ref="G148">SUMPRODUCT(Tracking[Amount],--(Tracking[Date]&lt;=Tracking[[#This Row],[Date]]),(Tracking[Type]&lt;&gt;"Income")*(-1) + (Tracking[Type]="Income"))</f>
        <v>0</v>
      </c>
      <c r="H148" s="41" cm="1">
        <f t="array" ref="H148">IF(AND(Tracking[[#This Row],[Type]]="Income",shift_late_income_status="Active",DAY(Tracking[[#This Row],[Date]])&gt;=shift_late_income_starting_day),DATE(YEAR(Tracking[[#This Row],[Date]]),MONTH(Tracking[[#This Row],[Date]])+1,1),Tracking[[#This Row],[Date]])</f>
        <v>0</v>
      </c>
    </row>
    <row r="149" spans="2:8" x14ac:dyDescent="0.25">
      <c r="B149" s="37"/>
      <c r="C149" s="38"/>
      <c r="D149" s="38"/>
      <c r="E149" s="39"/>
      <c r="F149" s="38"/>
      <c r="G149" s="40" cm="1">
        <f t="array" ref="G149">SUMPRODUCT(Tracking[Amount],--(Tracking[Date]&lt;=Tracking[[#This Row],[Date]]),(Tracking[Type]&lt;&gt;"Income")*(-1) + (Tracking[Type]="Income"))</f>
        <v>0</v>
      </c>
      <c r="H149" s="41" cm="1">
        <f t="array" ref="H149">IF(AND(Tracking[[#This Row],[Type]]="Income",shift_late_income_status="Active",DAY(Tracking[[#This Row],[Date]])&gt;=shift_late_income_starting_day),DATE(YEAR(Tracking[[#This Row],[Date]]),MONTH(Tracking[[#This Row],[Date]])+1,1),Tracking[[#This Row],[Date]])</f>
        <v>0</v>
      </c>
    </row>
    <row r="150" spans="2:8" x14ac:dyDescent="0.25">
      <c r="B150" s="37"/>
      <c r="C150" s="38"/>
      <c r="D150" s="38"/>
      <c r="E150" s="39"/>
      <c r="F150" s="38"/>
      <c r="G150" s="40" cm="1">
        <f t="array" ref="G150">SUMPRODUCT(Tracking[Amount],--(Tracking[Date]&lt;=Tracking[[#This Row],[Date]]),(Tracking[Type]&lt;&gt;"Income")*(-1) + (Tracking[Type]="Income"))</f>
        <v>0</v>
      </c>
      <c r="H150" s="41" cm="1">
        <f t="array" ref="H150">IF(AND(Tracking[[#This Row],[Type]]="Income",shift_late_income_status="Active",DAY(Tracking[[#This Row],[Date]])&gt;=shift_late_income_starting_day),DATE(YEAR(Tracking[[#This Row],[Date]]),MONTH(Tracking[[#This Row],[Date]])+1,1),Tracking[[#This Row],[Date]])</f>
        <v>0</v>
      </c>
    </row>
    <row r="151" spans="2:8" x14ac:dyDescent="0.25">
      <c r="B151" s="37"/>
      <c r="C151" s="38"/>
      <c r="D151" s="38"/>
      <c r="E151" s="39"/>
      <c r="F151" s="38"/>
      <c r="G151" s="40" cm="1">
        <f t="array" ref="G151">SUMPRODUCT(Tracking[Amount],--(Tracking[Date]&lt;=Tracking[[#This Row],[Date]]),(Tracking[Type]&lt;&gt;"Income")*(-1) + (Tracking[Type]="Income"))</f>
        <v>0</v>
      </c>
      <c r="H151" s="41" cm="1">
        <f t="array" ref="H151">IF(AND(Tracking[[#This Row],[Type]]="Income",shift_late_income_status="Active",DAY(Tracking[[#This Row],[Date]])&gt;=shift_late_income_starting_day),DATE(YEAR(Tracking[[#This Row],[Date]]),MONTH(Tracking[[#This Row],[Date]])+1,1),Tracking[[#This Row],[Date]])</f>
        <v>0</v>
      </c>
    </row>
    <row r="152" spans="2:8" x14ac:dyDescent="0.25">
      <c r="B152" s="37"/>
      <c r="C152" s="38"/>
      <c r="D152" s="38"/>
      <c r="E152" s="39"/>
      <c r="F152" s="38"/>
      <c r="G152" s="40" cm="1">
        <f t="array" ref="G152">SUMPRODUCT(Tracking[Amount],--(Tracking[Date]&lt;=Tracking[[#This Row],[Date]]),(Tracking[Type]&lt;&gt;"Income")*(-1) + (Tracking[Type]="Income"))</f>
        <v>0</v>
      </c>
      <c r="H152" s="41" cm="1">
        <f t="array" ref="H152">IF(AND(Tracking[[#This Row],[Type]]="Income",shift_late_income_status="Active",DAY(Tracking[[#This Row],[Date]])&gt;=shift_late_income_starting_day),DATE(YEAR(Tracking[[#This Row],[Date]]),MONTH(Tracking[[#This Row],[Date]])+1,1),Tracking[[#This Row],[Date]])</f>
        <v>0</v>
      </c>
    </row>
    <row r="153" spans="2:8" x14ac:dyDescent="0.25">
      <c r="B153" s="37"/>
      <c r="C153" s="38"/>
      <c r="D153" s="38"/>
      <c r="E153" s="39"/>
      <c r="F153" s="38"/>
      <c r="G153" s="40" cm="1">
        <f t="array" ref="G153">SUMPRODUCT(Tracking[Amount],--(Tracking[Date]&lt;=Tracking[[#This Row],[Date]]),(Tracking[Type]&lt;&gt;"Income")*(-1) + (Tracking[Type]="Income"))</f>
        <v>0</v>
      </c>
      <c r="H153" s="41" cm="1">
        <f t="array" ref="H153">IF(AND(Tracking[[#This Row],[Type]]="Income",shift_late_income_status="Active",DAY(Tracking[[#This Row],[Date]])&gt;=shift_late_income_starting_day),DATE(YEAR(Tracking[[#This Row],[Date]]),MONTH(Tracking[[#This Row],[Date]])+1,1),Tracking[[#This Row],[Date]])</f>
        <v>0</v>
      </c>
    </row>
    <row r="154" spans="2:8" x14ac:dyDescent="0.25">
      <c r="B154" s="37"/>
      <c r="C154" s="38"/>
      <c r="D154" s="38"/>
      <c r="E154" s="39"/>
      <c r="F154" s="38"/>
      <c r="G154" s="40" cm="1">
        <f t="array" ref="G154">SUMPRODUCT(Tracking[Amount],--(Tracking[Date]&lt;=Tracking[[#This Row],[Date]]),(Tracking[Type]&lt;&gt;"Income")*(-1) + (Tracking[Type]="Income"))</f>
        <v>0</v>
      </c>
      <c r="H154" s="41" cm="1">
        <f t="array" ref="H154">IF(AND(Tracking[[#This Row],[Type]]="Income",shift_late_income_status="Active",DAY(Tracking[[#This Row],[Date]])&gt;=shift_late_income_starting_day),DATE(YEAR(Tracking[[#This Row],[Date]]),MONTH(Tracking[[#This Row],[Date]])+1,1),Tracking[[#This Row],[Date]])</f>
        <v>0</v>
      </c>
    </row>
    <row r="155" spans="2:8" x14ac:dyDescent="0.25">
      <c r="B155" s="37"/>
      <c r="C155" s="38"/>
      <c r="D155" s="38"/>
      <c r="E155" s="39"/>
      <c r="F155" s="38"/>
      <c r="G155" s="40" cm="1">
        <f t="array" ref="G155">SUMPRODUCT(Tracking[Amount],--(Tracking[Date]&lt;=Tracking[[#This Row],[Date]]),(Tracking[Type]&lt;&gt;"Income")*(-1) + (Tracking[Type]="Income"))</f>
        <v>0</v>
      </c>
      <c r="H155" s="41" cm="1">
        <f t="array" ref="H155">IF(AND(Tracking[[#This Row],[Type]]="Income",shift_late_income_status="Active",DAY(Tracking[[#This Row],[Date]])&gt;=shift_late_income_starting_day),DATE(YEAR(Tracking[[#This Row],[Date]]),MONTH(Tracking[[#This Row],[Date]])+1,1),Tracking[[#This Row],[Date]])</f>
        <v>0</v>
      </c>
    </row>
    <row r="156" spans="2:8" x14ac:dyDescent="0.25">
      <c r="B156" s="37"/>
      <c r="C156" s="38"/>
      <c r="D156" s="38"/>
      <c r="E156" s="39"/>
      <c r="F156" s="38"/>
      <c r="G156" s="40" cm="1">
        <f t="array" ref="G156">SUMPRODUCT(Tracking[Amount],--(Tracking[Date]&lt;=Tracking[[#This Row],[Date]]),(Tracking[Type]&lt;&gt;"Income")*(-1) + (Tracking[Type]="Income"))</f>
        <v>0</v>
      </c>
      <c r="H156" s="41" cm="1">
        <f t="array" ref="H156">IF(AND(Tracking[[#This Row],[Type]]="Income",shift_late_income_status="Active",DAY(Tracking[[#This Row],[Date]])&gt;=shift_late_income_starting_day),DATE(YEAR(Tracking[[#This Row],[Date]]),MONTH(Tracking[[#This Row],[Date]])+1,1),Tracking[[#This Row],[Date]])</f>
        <v>0</v>
      </c>
    </row>
    <row r="157" spans="2:8" x14ac:dyDescent="0.25">
      <c r="B157" s="37"/>
      <c r="C157" s="38"/>
      <c r="D157" s="38"/>
      <c r="E157" s="39"/>
      <c r="F157" s="38"/>
      <c r="G157" s="40" cm="1">
        <f t="array" ref="G157">SUMPRODUCT(Tracking[Amount],--(Tracking[Date]&lt;=Tracking[[#This Row],[Date]]),(Tracking[Type]&lt;&gt;"Income")*(-1) + (Tracking[Type]="Income"))</f>
        <v>0</v>
      </c>
      <c r="H157" s="41" cm="1">
        <f t="array" ref="H157">IF(AND(Tracking[[#This Row],[Type]]="Income",shift_late_income_status="Active",DAY(Tracking[[#This Row],[Date]])&gt;=shift_late_income_starting_day),DATE(YEAR(Tracking[[#This Row],[Date]]),MONTH(Tracking[[#This Row],[Date]])+1,1),Tracking[[#This Row],[Date]])</f>
        <v>0</v>
      </c>
    </row>
    <row r="158" spans="2:8" x14ac:dyDescent="0.25">
      <c r="B158" s="37"/>
      <c r="C158" s="38"/>
      <c r="D158" s="38"/>
      <c r="E158" s="39"/>
      <c r="F158" s="38"/>
      <c r="G158" s="40" cm="1">
        <f t="array" ref="G158">SUMPRODUCT(Tracking[Amount],--(Tracking[Date]&lt;=Tracking[[#This Row],[Date]]),(Tracking[Type]&lt;&gt;"Income")*(-1) + (Tracking[Type]="Income"))</f>
        <v>0</v>
      </c>
      <c r="H158" s="41" cm="1">
        <f t="array" ref="H158">IF(AND(Tracking[[#This Row],[Type]]="Income",shift_late_income_status="Active",DAY(Tracking[[#This Row],[Date]])&gt;=shift_late_income_starting_day),DATE(YEAR(Tracking[[#This Row],[Date]]),MONTH(Tracking[[#This Row],[Date]])+1,1),Tracking[[#This Row],[Date]])</f>
        <v>0</v>
      </c>
    </row>
    <row r="159" spans="2:8" x14ac:dyDescent="0.25">
      <c r="B159" s="37"/>
      <c r="C159" s="38"/>
      <c r="D159" s="38"/>
      <c r="E159" s="39"/>
      <c r="F159" s="38"/>
      <c r="G159" s="40" cm="1">
        <f t="array" ref="G159">SUMPRODUCT(Tracking[Amount],--(Tracking[Date]&lt;=Tracking[[#This Row],[Date]]),(Tracking[Type]&lt;&gt;"Income")*(-1) + (Tracking[Type]="Income"))</f>
        <v>0</v>
      </c>
      <c r="H159" s="41" cm="1">
        <f t="array" ref="H159">IF(AND(Tracking[[#This Row],[Type]]="Income",shift_late_income_status="Active",DAY(Tracking[[#This Row],[Date]])&gt;=shift_late_income_starting_day),DATE(YEAR(Tracking[[#This Row],[Date]]),MONTH(Tracking[[#This Row],[Date]])+1,1),Tracking[[#This Row],[Date]])</f>
        <v>0</v>
      </c>
    </row>
    <row r="160" spans="2:8" x14ac:dyDescent="0.25">
      <c r="B160" s="37"/>
      <c r="C160" s="38"/>
      <c r="D160" s="38"/>
      <c r="E160" s="39"/>
      <c r="F160" s="38"/>
      <c r="G160" s="40" cm="1">
        <f t="array" ref="G160">SUMPRODUCT(Tracking[Amount],--(Tracking[Date]&lt;=Tracking[[#This Row],[Date]]),(Tracking[Type]&lt;&gt;"Income")*(-1) + (Tracking[Type]="Income"))</f>
        <v>0</v>
      </c>
      <c r="H160" s="41" cm="1">
        <f t="array" ref="H160">IF(AND(Tracking[[#This Row],[Type]]="Income",shift_late_income_status="Active",DAY(Tracking[[#This Row],[Date]])&gt;=shift_late_income_starting_day),DATE(YEAR(Tracking[[#This Row],[Date]]),MONTH(Tracking[[#This Row],[Date]])+1,1),Tracking[[#This Row],[Date]])</f>
        <v>0</v>
      </c>
    </row>
    <row r="161" spans="2:8" x14ac:dyDescent="0.25">
      <c r="B161" s="37"/>
      <c r="C161" s="38"/>
      <c r="D161" s="38"/>
      <c r="E161" s="39"/>
      <c r="F161" s="38"/>
      <c r="G161" s="40" cm="1">
        <f t="array" ref="G161">SUMPRODUCT(Tracking[Amount],--(Tracking[Date]&lt;=Tracking[[#This Row],[Date]]),(Tracking[Type]&lt;&gt;"Income")*(-1) + (Tracking[Type]="Income"))</f>
        <v>0</v>
      </c>
      <c r="H161" s="41" cm="1">
        <f t="array" ref="H161">IF(AND(Tracking[[#This Row],[Type]]="Income",shift_late_income_status="Active",DAY(Tracking[[#This Row],[Date]])&gt;=shift_late_income_starting_day),DATE(YEAR(Tracking[[#This Row],[Date]]),MONTH(Tracking[[#This Row],[Date]])+1,1),Tracking[[#This Row],[Date]])</f>
        <v>0</v>
      </c>
    </row>
    <row r="162" spans="2:8" x14ac:dyDescent="0.25">
      <c r="B162" s="37"/>
      <c r="C162" s="38"/>
      <c r="D162" s="38"/>
      <c r="E162" s="39"/>
      <c r="F162" s="38"/>
      <c r="G162" s="40" cm="1">
        <f t="array" ref="G162">SUMPRODUCT(Tracking[Amount],--(Tracking[Date]&lt;=Tracking[[#This Row],[Date]]),(Tracking[Type]&lt;&gt;"Income")*(-1) + (Tracking[Type]="Income"))</f>
        <v>0</v>
      </c>
      <c r="H162" s="41" cm="1">
        <f t="array" ref="H162">IF(AND(Tracking[[#This Row],[Type]]="Income",shift_late_income_status="Active",DAY(Tracking[[#This Row],[Date]])&gt;=shift_late_income_starting_day),DATE(YEAR(Tracking[[#This Row],[Date]]),MONTH(Tracking[[#This Row],[Date]])+1,1),Tracking[[#This Row],[Date]])</f>
        <v>0</v>
      </c>
    </row>
    <row r="163" spans="2:8" x14ac:dyDescent="0.25">
      <c r="B163" s="37"/>
      <c r="C163" s="38"/>
      <c r="D163" s="38"/>
      <c r="E163" s="39"/>
      <c r="F163" s="38"/>
      <c r="G163" s="40" cm="1">
        <f t="array" ref="G163">SUMPRODUCT(Tracking[Amount],--(Tracking[Date]&lt;=Tracking[[#This Row],[Date]]),(Tracking[Type]&lt;&gt;"Income")*(-1) + (Tracking[Type]="Income"))</f>
        <v>0</v>
      </c>
      <c r="H163" s="41" cm="1">
        <f t="array" ref="H163">IF(AND(Tracking[[#This Row],[Type]]="Income",shift_late_income_status="Active",DAY(Tracking[[#This Row],[Date]])&gt;=shift_late_income_starting_day),DATE(YEAR(Tracking[[#This Row],[Date]]),MONTH(Tracking[[#This Row],[Date]])+1,1),Tracking[[#This Row],[Date]])</f>
        <v>0</v>
      </c>
    </row>
    <row r="164" spans="2:8" x14ac:dyDescent="0.25">
      <c r="B164" s="37"/>
      <c r="C164" s="38"/>
      <c r="D164" s="38"/>
      <c r="E164" s="39"/>
      <c r="F164" s="38"/>
      <c r="G164" s="40" cm="1">
        <f t="array" ref="G164">SUMPRODUCT(Tracking[Amount],--(Tracking[Date]&lt;=Tracking[[#This Row],[Date]]),(Tracking[Type]&lt;&gt;"Income")*(-1) + (Tracking[Type]="Income"))</f>
        <v>0</v>
      </c>
      <c r="H164" s="41" cm="1">
        <f t="array" ref="H164">IF(AND(Tracking[[#This Row],[Type]]="Income",shift_late_income_status="Active",DAY(Tracking[[#This Row],[Date]])&gt;=shift_late_income_starting_day),DATE(YEAR(Tracking[[#This Row],[Date]]),MONTH(Tracking[[#This Row],[Date]])+1,1),Tracking[[#This Row],[Date]])</f>
        <v>0</v>
      </c>
    </row>
    <row r="165" spans="2:8" x14ac:dyDescent="0.25">
      <c r="B165" s="37"/>
      <c r="C165" s="38"/>
      <c r="D165" s="38"/>
      <c r="E165" s="39"/>
      <c r="F165" s="38"/>
      <c r="G165" s="40" cm="1">
        <f t="array" ref="G165">SUMPRODUCT(Tracking[Amount],--(Tracking[Date]&lt;=Tracking[[#This Row],[Date]]),(Tracking[Type]&lt;&gt;"Income")*(-1) + (Tracking[Type]="Income"))</f>
        <v>0</v>
      </c>
      <c r="H165" s="41" cm="1">
        <f t="array" ref="H165">IF(AND(Tracking[[#This Row],[Type]]="Income",shift_late_income_status="Active",DAY(Tracking[[#This Row],[Date]])&gt;=shift_late_income_starting_day),DATE(YEAR(Tracking[[#This Row],[Date]]),MONTH(Tracking[[#This Row],[Date]])+1,1),Tracking[[#This Row],[Date]])</f>
        <v>0</v>
      </c>
    </row>
    <row r="166" spans="2:8" x14ac:dyDescent="0.25">
      <c r="B166" s="37"/>
      <c r="C166" s="38"/>
      <c r="D166" s="38"/>
      <c r="E166" s="39"/>
      <c r="F166" s="38"/>
      <c r="G166" s="40" cm="1">
        <f t="array" ref="G166">SUMPRODUCT(Tracking[Amount],--(Tracking[Date]&lt;=Tracking[[#This Row],[Date]]),(Tracking[Type]&lt;&gt;"Income")*(-1) + (Tracking[Type]="Income"))</f>
        <v>0</v>
      </c>
      <c r="H166" s="41" cm="1">
        <f t="array" ref="H166">IF(AND(Tracking[[#This Row],[Type]]="Income",shift_late_income_status="Active",DAY(Tracking[[#This Row],[Date]])&gt;=shift_late_income_starting_day),DATE(YEAR(Tracking[[#This Row],[Date]]),MONTH(Tracking[[#This Row],[Date]])+1,1),Tracking[[#This Row],[Date]])</f>
        <v>0</v>
      </c>
    </row>
    <row r="167" spans="2:8" x14ac:dyDescent="0.25">
      <c r="B167" s="37"/>
      <c r="C167" s="38"/>
      <c r="D167" s="38"/>
      <c r="E167" s="39"/>
      <c r="F167" s="38"/>
      <c r="G167" s="40" cm="1">
        <f t="array" ref="G167">SUMPRODUCT(Tracking[Amount],--(Tracking[Date]&lt;=Tracking[[#This Row],[Date]]),(Tracking[Type]&lt;&gt;"Income")*(-1) + (Tracking[Type]="Income"))</f>
        <v>0</v>
      </c>
      <c r="H167" s="41" cm="1">
        <f t="array" ref="H167">IF(AND(Tracking[[#This Row],[Type]]="Income",shift_late_income_status="Active",DAY(Tracking[[#This Row],[Date]])&gt;=shift_late_income_starting_day),DATE(YEAR(Tracking[[#This Row],[Date]]),MONTH(Tracking[[#This Row],[Date]])+1,1),Tracking[[#This Row],[Date]])</f>
        <v>0</v>
      </c>
    </row>
    <row r="168" spans="2:8" x14ac:dyDescent="0.25">
      <c r="B168" s="37"/>
      <c r="C168" s="38"/>
      <c r="D168" s="38"/>
      <c r="E168" s="39"/>
      <c r="F168" s="38"/>
      <c r="G168" s="40" cm="1">
        <f t="array" ref="G168">SUMPRODUCT(Tracking[Amount],--(Tracking[Date]&lt;=Tracking[[#This Row],[Date]]),(Tracking[Type]&lt;&gt;"Income")*(-1) + (Tracking[Type]="Income"))</f>
        <v>0</v>
      </c>
      <c r="H168" s="41" cm="1">
        <f t="array" ref="H168">IF(AND(Tracking[[#This Row],[Type]]="Income",shift_late_income_status="Active",DAY(Tracking[[#This Row],[Date]])&gt;=shift_late_income_starting_day),DATE(YEAR(Tracking[[#This Row],[Date]]),MONTH(Tracking[[#This Row],[Date]])+1,1),Tracking[[#This Row],[Date]])</f>
        <v>0</v>
      </c>
    </row>
    <row r="169" spans="2:8" x14ac:dyDescent="0.25">
      <c r="B169" s="37"/>
      <c r="C169" s="38"/>
      <c r="D169" s="38"/>
      <c r="E169" s="39"/>
      <c r="F169" s="38"/>
      <c r="G169" s="40" cm="1">
        <f t="array" ref="G169">SUMPRODUCT(Tracking[Amount],--(Tracking[Date]&lt;=Tracking[[#This Row],[Date]]),(Tracking[Type]&lt;&gt;"Income")*(-1) + (Tracking[Type]="Income"))</f>
        <v>0</v>
      </c>
      <c r="H169" s="41" cm="1">
        <f t="array" ref="H169">IF(AND(Tracking[[#This Row],[Type]]="Income",shift_late_income_status="Active",DAY(Tracking[[#This Row],[Date]])&gt;=shift_late_income_starting_day),DATE(YEAR(Tracking[[#This Row],[Date]]),MONTH(Tracking[[#This Row],[Date]])+1,1),Tracking[[#This Row],[Date]])</f>
        <v>0</v>
      </c>
    </row>
    <row r="170" spans="2:8" x14ac:dyDescent="0.25">
      <c r="B170" s="37"/>
      <c r="C170" s="38"/>
      <c r="D170" s="38"/>
      <c r="E170" s="39"/>
      <c r="F170" s="38"/>
      <c r="G170" s="40" cm="1">
        <f t="array" ref="G170">SUMPRODUCT(Tracking[Amount],--(Tracking[Date]&lt;=Tracking[[#This Row],[Date]]),(Tracking[Type]&lt;&gt;"Income")*(-1) + (Tracking[Type]="Income"))</f>
        <v>0</v>
      </c>
      <c r="H170" s="41" cm="1">
        <f t="array" ref="H170">IF(AND(Tracking[[#This Row],[Type]]="Income",shift_late_income_status="Active",DAY(Tracking[[#This Row],[Date]])&gt;=shift_late_income_starting_day),DATE(YEAR(Tracking[[#This Row],[Date]]),MONTH(Tracking[[#This Row],[Date]])+1,1),Tracking[[#This Row],[Date]])</f>
        <v>0</v>
      </c>
    </row>
    <row r="171" spans="2:8" x14ac:dyDescent="0.25">
      <c r="B171" s="37"/>
      <c r="C171" s="38"/>
      <c r="D171" s="38"/>
      <c r="E171" s="39"/>
      <c r="F171" s="38"/>
      <c r="G171" s="40" cm="1">
        <f t="array" ref="G171">SUMPRODUCT(Tracking[Amount],--(Tracking[Date]&lt;=Tracking[[#This Row],[Date]]),(Tracking[Type]&lt;&gt;"Income")*(-1) + (Tracking[Type]="Income"))</f>
        <v>0</v>
      </c>
      <c r="H171" s="41" cm="1">
        <f t="array" ref="H171">IF(AND(Tracking[[#This Row],[Type]]="Income",shift_late_income_status="Active",DAY(Tracking[[#This Row],[Date]])&gt;=shift_late_income_starting_day),DATE(YEAR(Tracking[[#This Row],[Date]]),MONTH(Tracking[[#This Row],[Date]])+1,1),Tracking[[#This Row],[Date]])</f>
        <v>0</v>
      </c>
    </row>
    <row r="172" spans="2:8" x14ac:dyDescent="0.25">
      <c r="B172" s="37"/>
      <c r="C172" s="38"/>
      <c r="D172" s="38"/>
      <c r="E172" s="39"/>
      <c r="F172" s="38"/>
      <c r="G172" s="40" cm="1">
        <f t="array" ref="G172">SUMPRODUCT(Tracking[Amount],--(Tracking[Date]&lt;=Tracking[[#This Row],[Date]]),(Tracking[Type]&lt;&gt;"Income")*(-1) + (Tracking[Type]="Income"))</f>
        <v>0</v>
      </c>
      <c r="H172" s="41" cm="1">
        <f t="array" ref="H172">IF(AND(Tracking[[#This Row],[Type]]="Income",shift_late_income_status="Active",DAY(Tracking[[#This Row],[Date]])&gt;=shift_late_income_starting_day),DATE(YEAR(Tracking[[#This Row],[Date]]),MONTH(Tracking[[#This Row],[Date]])+1,1),Tracking[[#This Row],[Date]])</f>
        <v>0</v>
      </c>
    </row>
    <row r="173" spans="2:8" x14ac:dyDescent="0.25">
      <c r="B173" s="37"/>
      <c r="C173" s="38"/>
      <c r="D173" s="38"/>
      <c r="E173" s="39"/>
      <c r="F173" s="38"/>
      <c r="G173" s="40" cm="1">
        <f t="array" ref="G173">SUMPRODUCT(Tracking[Amount],--(Tracking[Date]&lt;=Tracking[[#This Row],[Date]]),(Tracking[Type]&lt;&gt;"Income")*(-1) + (Tracking[Type]="Income"))</f>
        <v>0</v>
      </c>
      <c r="H173" s="41" cm="1">
        <f t="array" ref="H173">IF(AND(Tracking[[#This Row],[Type]]="Income",shift_late_income_status="Active",DAY(Tracking[[#This Row],[Date]])&gt;=shift_late_income_starting_day),DATE(YEAR(Tracking[[#This Row],[Date]]),MONTH(Tracking[[#This Row],[Date]])+1,1),Tracking[[#This Row],[Date]])</f>
        <v>0</v>
      </c>
    </row>
    <row r="174" spans="2:8" x14ac:dyDescent="0.25">
      <c r="B174" s="37"/>
      <c r="C174" s="38"/>
      <c r="D174" s="38"/>
      <c r="E174" s="39"/>
      <c r="F174" s="38"/>
      <c r="G174" s="40" cm="1">
        <f t="array" ref="G174">SUMPRODUCT(Tracking[Amount],--(Tracking[Date]&lt;=Tracking[[#This Row],[Date]]),(Tracking[Type]&lt;&gt;"Income")*(-1) + (Tracking[Type]="Income"))</f>
        <v>0</v>
      </c>
      <c r="H174" s="41" cm="1">
        <f t="array" ref="H174">IF(AND(Tracking[[#This Row],[Type]]="Income",shift_late_income_status="Active",DAY(Tracking[[#This Row],[Date]])&gt;=shift_late_income_starting_day),DATE(YEAR(Tracking[[#This Row],[Date]]),MONTH(Tracking[[#This Row],[Date]])+1,1),Tracking[[#This Row],[Date]])</f>
        <v>0</v>
      </c>
    </row>
    <row r="175" spans="2:8" x14ac:dyDescent="0.25">
      <c r="B175" s="37"/>
      <c r="C175" s="38"/>
      <c r="D175" s="38"/>
      <c r="E175" s="39"/>
      <c r="F175" s="38"/>
      <c r="G175" s="40" cm="1">
        <f t="array" ref="G175">SUMPRODUCT(Tracking[Amount],--(Tracking[Date]&lt;=Tracking[[#This Row],[Date]]),(Tracking[Type]&lt;&gt;"Income")*(-1) + (Tracking[Type]="Income"))</f>
        <v>0</v>
      </c>
      <c r="H175" s="41" cm="1">
        <f t="array" ref="H175">IF(AND(Tracking[[#This Row],[Type]]="Income",shift_late_income_status="Active",DAY(Tracking[[#This Row],[Date]])&gt;=shift_late_income_starting_day),DATE(YEAR(Tracking[[#This Row],[Date]]),MONTH(Tracking[[#This Row],[Date]])+1,1),Tracking[[#This Row],[Date]])</f>
        <v>0</v>
      </c>
    </row>
    <row r="176" spans="2:8" x14ac:dyDescent="0.25">
      <c r="B176" s="37"/>
      <c r="C176" s="38"/>
      <c r="D176" s="38"/>
      <c r="E176" s="39"/>
      <c r="F176" s="38"/>
      <c r="G176" s="40" cm="1">
        <f t="array" ref="G176">SUMPRODUCT(Tracking[Amount],--(Tracking[Date]&lt;=Tracking[[#This Row],[Date]]),(Tracking[Type]&lt;&gt;"Income")*(-1) + (Tracking[Type]="Income"))</f>
        <v>0</v>
      </c>
      <c r="H176" s="41" cm="1">
        <f t="array" ref="H176">IF(AND(Tracking[[#This Row],[Type]]="Income",shift_late_income_status="Active",DAY(Tracking[[#This Row],[Date]])&gt;=shift_late_income_starting_day),DATE(YEAR(Tracking[[#This Row],[Date]]),MONTH(Tracking[[#This Row],[Date]])+1,1),Tracking[[#This Row],[Date]])</f>
        <v>0</v>
      </c>
    </row>
    <row r="177" spans="2:8" x14ac:dyDescent="0.25">
      <c r="B177" s="37"/>
      <c r="C177" s="38"/>
      <c r="D177" s="38"/>
      <c r="E177" s="39"/>
      <c r="F177" s="38"/>
      <c r="G177" s="40" cm="1">
        <f t="array" ref="G177">SUMPRODUCT(Tracking[Amount],--(Tracking[Date]&lt;=Tracking[[#This Row],[Date]]),(Tracking[Type]&lt;&gt;"Income")*(-1) + (Tracking[Type]="Income"))</f>
        <v>0</v>
      </c>
      <c r="H177" s="41" cm="1">
        <f t="array" ref="H177">IF(AND(Tracking[[#This Row],[Type]]="Income",shift_late_income_status="Active",DAY(Tracking[[#This Row],[Date]])&gt;=shift_late_income_starting_day),DATE(YEAR(Tracking[[#This Row],[Date]]),MONTH(Tracking[[#This Row],[Date]])+1,1),Tracking[[#This Row],[Date]])</f>
        <v>0</v>
      </c>
    </row>
    <row r="178" spans="2:8" x14ac:dyDescent="0.25">
      <c r="B178" s="37"/>
      <c r="C178" s="38"/>
      <c r="D178" s="38"/>
      <c r="E178" s="39"/>
      <c r="F178" s="38"/>
      <c r="G178" s="40" cm="1">
        <f t="array" ref="G178">SUMPRODUCT(Tracking[Amount],--(Tracking[Date]&lt;=Tracking[[#This Row],[Date]]),(Tracking[Type]&lt;&gt;"Income")*(-1) + (Tracking[Type]="Income"))</f>
        <v>0</v>
      </c>
      <c r="H178" s="41" cm="1">
        <f t="array" ref="H178">IF(AND(Tracking[[#This Row],[Type]]="Income",shift_late_income_status="Active",DAY(Tracking[[#This Row],[Date]])&gt;=shift_late_income_starting_day),DATE(YEAR(Tracking[[#This Row],[Date]]),MONTH(Tracking[[#This Row],[Date]])+1,1),Tracking[[#This Row],[Date]])</f>
        <v>0</v>
      </c>
    </row>
    <row r="179" spans="2:8" x14ac:dyDescent="0.25">
      <c r="B179" s="37"/>
      <c r="C179" s="38"/>
      <c r="D179" s="38"/>
      <c r="E179" s="39"/>
      <c r="F179" s="38"/>
      <c r="G179" s="40" cm="1">
        <f t="array" ref="G179">SUMPRODUCT(Tracking[Amount],--(Tracking[Date]&lt;=Tracking[[#This Row],[Date]]),(Tracking[Type]&lt;&gt;"Income")*(-1) + (Tracking[Type]="Income"))</f>
        <v>0</v>
      </c>
      <c r="H179" s="41" cm="1">
        <f t="array" ref="H179">IF(AND(Tracking[[#This Row],[Type]]="Income",shift_late_income_status="Active",DAY(Tracking[[#This Row],[Date]])&gt;=shift_late_income_starting_day),DATE(YEAR(Tracking[[#This Row],[Date]]),MONTH(Tracking[[#This Row],[Date]])+1,1),Tracking[[#This Row],[Date]])</f>
        <v>0</v>
      </c>
    </row>
    <row r="180" spans="2:8" x14ac:dyDescent="0.25">
      <c r="B180" s="37"/>
      <c r="C180" s="38"/>
      <c r="D180" s="38"/>
      <c r="E180" s="39"/>
      <c r="F180" s="38"/>
      <c r="G180" s="40" cm="1">
        <f t="array" ref="G180">SUMPRODUCT(Tracking[Amount],--(Tracking[Date]&lt;=Tracking[[#This Row],[Date]]),(Tracking[Type]&lt;&gt;"Income")*(-1) + (Tracking[Type]="Income"))</f>
        <v>0</v>
      </c>
      <c r="H180" s="41" cm="1">
        <f t="array" ref="H180">IF(AND(Tracking[[#This Row],[Type]]="Income",shift_late_income_status="Active",DAY(Tracking[[#This Row],[Date]])&gt;=shift_late_income_starting_day),DATE(YEAR(Tracking[[#This Row],[Date]]),MONTH(Tracking[[#This Row],[Date]])+1,1),Tracking[[#This Row],[Date]])</f>
        <v>0</v>
      </c>
    </row>
    <row r="181" spans="2:8" x14ac:dyDescent="0.25">
      <c r="B181" s="37"/>
      <c r="C181" s="38"/>
      <c r="D181" s="38"/>
      <c r="E181" s="39"/>
      <c r="F181" s="38"/>
      <c r="G181" s="40" cm="1">
        <f t="array" ref="G181">SUMPRODUCT(Tracking[Amount],--(Tracking[Date]&lt;=Tracking[[#This Row],[Date]]),(Tracking[Type]&lt;&gt;"Income")*(-1) + (Tracking[Type]="Income"))</f>
        <v>0</v>
      </c>
      <c r="H181" s="41" cm="1">
        <f t="array" ref="H181">IF(AND(Tracking[[#This Row],[Type]]="Income",shift_late_income_status="Active",DAY(Tracking[[#This Row],[Date]])&gt;=shift_late_income_starting_day),DATE(YEAR(Tracking[[#This Row],[Date]]),MONTH(Tracking[[#This Row],[Date]])+1,1),Tracking[[#This Row],[Date]])</f>
        <v>0</v>
      </c>
    </row>
    <row r="182" spans="2:8" x14ac:dyDescent="0.25">
      <c r="B182" s="37"/>
      <c r="C182" s="38"/>
      <c r="D182" s="38"/>
      <c r="E182" s="39"/>
      <c r="F182" s="38"/>
      <c r="G182" s="40" cm="1">
        <f t="array" ref="G182">SUMPRODUCT(Tracking[Amount],--(Tracking[Date]&lt;=Tracking[[#This Row],[Date]]),(Tracking[Type]&lt;&gt;"Income")*(-1) + (Tracking[Type]="Income"))</f>
        <v>0</v>
      </c>
      <c r="H182" s="41" cm="1">
        <f t="array" ref="H182">IF(AND(Tracking[[#This Row],[Type]]="Income",shift_late_income_status="Active",DAY(Tracking[[#This Row],[Date]])&gt;=shift_late_income_starting_day),DATE(YEAR(Tracking[[#This Row],[Date]]),MONTH(Tracking[[#This Row],[Date]])+1,1),Tracking[[#This Row],[Date]])</f>
        <v>0</v>
      </c>
    </row>
    <row r="183" spans="2:8" x14ac:dyDescent="0.25">
      <c r="B183" s="37"/>
      <c r="C183" s="38"/>
      <c r="D183" s="38"/>
      <c r="E183" s="39"/>
      <c r="F183" s="38"/>
      <c r="G183" s="40" cm="1">
        <f t="array" ref="G183">SUMPRODUCT(Tracking[Amount],--(Tracking[Date]&lt;=Tracking[[#This Row],[Date]]),(Tracking[Type]&lt;&gt;"Income")*(-1) + (Tracking[Type]="Income"))</f>
        <v>0</v>
      </c>
      <c r="H183" s="41" cm="1">
        <f t="array" ref="H183">IF(AND(Tracking[[#This Row],[Type]]="Income",shift_late_income_status="Active",DAY(Tracking[[#This Row],[Date]])&gt;=shift_late_income_starting_day),DATE(YEAR(Tracking[[#This Row],[Date]]),MONTH(Tracking[[#This Row],[Date]])+1,1),Tracking[[#This Row],[Date]])</f>
        <v>0</v>
      </c>
    </row>
    <row r="184" spans="2:8" x14ac:dyDescent="0.25">
      <c r="B184" s="37"/>
      <c r="C184" s="38"/>
      <c r="D184" s="38"/>
      <c r="E184" s="39"/>
      <c r="F184" s="38"/>
      <c r="G184" s="40" cm="1">
        <f t="array" ref="G184">SUMPRODUCT(Tracking[Amount],--(Tracking[Date]&lt;=Tracking[[#This Row],[Date]]),(Tracking[Type]&lt;&gt;"Income")*(-1) + (Tracking[Type]="Income"))</f>
        <v>0</v>
      </c>
      <c r="H184" s="41" cm="1">
        <f t="array" ref="H184">IF(AND(Tracking[[#This Row],[Type]]="Income",shift_late_income_status="Active",DAY(Tracking[[#This Row],[Date]])&gt;=shift_late_income_starting_day),DATE(YEAR(Tracking[[#This Row],[Date]]),MONTH(Tracking[[#This Row],[Date]])+1,1),Tracking[[#This Row],[Date]])</f>
        <v>0</v>
      </c>
    </row>
    <row r="185" spans="2:8" x14ac:dyDescent="0.25">
      <c r="B185" s="37"/>
      <c r="C185" s="38"/>
      <c r="D185" s="38"/>
      <c r="E185" s="39"/>
      <c r="F185" s="38"/>
      <c r="G185" s="40" cm="1">
        <f t="array" ref="G185">SUMPRODUCT(Tracking[Amount],--(Tracking[Date]&lt;=Tracking[[#This Row],[Date]]),(Tracking[Type]&lt;&gt;"Income")*(-1) + (Tracking[Type]="Income"))</f>
        <v>0</v>
      </c>
      <c r="H185" s="41" cm="1">
        <f t="array" ref="H185">IF(AND(Tracking[[#This Row],[Type]]="Income",shift_late_income_status="Active",DAY(Tracking[[#This Row],[Date]])&gt;=shift_late_income_starting_day),DATE(YEAR(Tracking[[#This Row],[Date]]),MONTH(Tracking[[#This Row],[Date]])+1,1),Tracking[[#This Row],[Date]])</f>
        <v>0</v>
      </c>
    </row>
    <row r="186" spans="2:8" x14ac:dyDescent="0.25">
      <c r="B186" s="37"/>
      <c r="C186" s="38"/>
      <c r="D186" s="38"/>
      <c r="E186" s="39"/>
      <c r="F186" s="38"/>
      <c r="G186" s="40" cm="1">
        <f t="array" ref="G186">SUMPRODUCT(Tracking[Amount],--(Tracking[Date]&lt;=Tracking[[#This Row],[Date]]),(Tracking[Type]&lt;&gt;"Income")*(-1) + (Tracking[Type]="Income"))</f>
        <v>0</v>
      </c>
      <c r="H186" s="41" cm="1">
        <f t="array" ref="H186">IF(AND(Tracking[[#This Row],[Type]]="Income",shift_late_income_status="Active",DAY(Tracking[[#This Row],[Date]])&gt;=shift_late_income_starting_day),DATE(YEAR(Tracking[[#This Row],[Date]]),MONTH(Tracking[[#This Row],[Date]])+1,1),Tracking[[#This Row],[Date]])</f>
        <v>0</v>
      </c>
    </row>
    <row r="187" spans="2:8" x14ac:dyDescent="0.25">
      <c r="B187" s="37"/>
      <c r="C187" s="38"/>
      <c r="D187" s="38"/>
      <c r="E187" s="39"/>
      <c r="F187" s="38"/>
      <c r="G187" s="40" cm="1">
        <f t="array" ref="G187">SUMPRODUCT(Tracking[Amount],--(Tracking[Date]&lt;=Tracking[[#This Row],[Date]]),(Tracking[Type]&lt;&gt;"Income")*(-1) + (Tracking[Type]="Income"))</f>
        <v>0</v>
      </c>
      <c r="H187" s="41" cm="1">
        <f t="array" ref="H187">IF(AND(Tracking[[#This Row],[Type]]="Income",shift_late_income_status="Active",DAY(Tracking[[#This Row],[Date]])&gt;=shift_late_income_starting_day),DATE(YEAR(Tracking[[#This Row],[Date]]),MONTH(Tracking[[#This Row],[Date]])+1,1),Tracking[[#This Row],[Date]])</f>
        <v>0</v>
      </c>
    </row>
    <row r="188" spans="2:8" x14ac:dyDescent="0.25">
      <c r="B188" s="37"/>
      <c r="C188" s="38"/>
      <c r="D188" s="38"/>
      <c r="E188" s="39"/>
      <c r="F188" s="38"/>
      <c r="G188" s="40" cm="1">
        <f t="array" ref="G188">SUMPRODUCT(Tracking[Amount],--(Tracking[Date]&lt;=Tracking[[#This Row],[Date]]),(Tracking[Type]&lt;&gt;"Income")*(-1) + (Tracking[Type]="Income"))</f>
        <v>0</v>
      </c>
      <c r="H188" s="41" cm="1">
        <f t="array" ref="H188">IF(AND(Tracking[[#This Row],[Type]]="Income",shift_late_income_status="Active",DAY(Tracking[[#This Row],[Date]])&gt;=shift_late_income_starting_day),DATE(YEAR(Tracking[[#This Row],[Date]]),MONTH(Tracking[[#This Row],[Date]])+1,1),Tracking[[#This Row],[Date]])</f>
        <v>0</v>
      </c>
    </row>
    <row r="189" spans="2:8" x14ac:dyDescent="0.25">
      <c r="B189" s="37"/>
      <c r="C189" s="38"/>
      <c r="D189" s="38"/>
      <c r="E189" s="39"/>
      <c r="F189" s="38"/>
      <c r="G189" s="40" cm="1">
        <f t="array" ref="G189">SUMPRODUCT(Tracking[Amount],--(Tracking[Date]&lt;=Tracking[[#This Row],[Date]]),(Tracking[Type]&lt;&gt;"Income")*(-1) + (Tracking[Type]="Income"))</f>
        <v>0</v>
      </c>
      <c r="H189" s="41" cm="1">
        <f t="array" ref="H189">IF(AND(Tracking[[#This Row],[Type]]="Income",shift_late_income_status="Active",DAY(Tracking[[#This Row],[Date]])&gt;=shift_late_income_starting_day),DATE(YEAR(Tracking[[#This Row],[Date]]),MONTH(Tracking[[#This Row],[Date]])+1,1),Tracking[[#This Row],[Date]])</f>
        <v>0</v>
      </c>
    </row>
    <row r="190" spans="2:8" x14ac:dyDescent="0.25">
      <c r="B190" s="37"/>
      <c r="C190" s="38"/>
      <c r="D190" s="38"/>
      <c r="E190" s="39"/>
      <c r="F190" s="38"/>
      <c r="G190" s="40" cm="1">
        <f t="array" ref="G190">SUMPRODUCT(Tracking[Amount],--(Tracking[Date]&lt;=Tracking[[#This Row],[Date]]),(Tracking[Type]&lt;&gt;"Income")*(-1) + (Tracking[Type]="Income"))</f>
        <v>0</v>
      </c>
      <c r="H190" s="41" cm="1">
        <f t="array" ref="H190">IF(AND(Tracking[[#This Row],[Type]]="Income",shift_late_income_status="Active",DAY(Tracking[[#This Row],[Date]])&gt;=shift_late_income_starting_day),DATE(YEAR(Tracking[[#This Row],[Date]]),MONTH(Tracking[[#This Row],[Date]])+1,1),Tracking[[#This Row],[Date]])</f>
        <v>0</v>
      </c>
    </row>
    <row r="191" spans="2:8" x14ac:dyDescent="0.25">
      <c r="B191" s="37"/>
      <c r="C191" s="38"/>
      <c r="D191" s="38"/>
      <c r="E191" s="39"/>
      <c r="F191" s="38"/>
      <c r="G191" s="40" cm="1">
        <f t="array" ref="G191">SUMPRODUCT(Tracking[Amount],--(Tracking[Date]&lt;=Tracking[[#This Row],[Date]]),(Tracking[Type]&lt;&gt;"Income")*(-1) + (Tracking[Type]="Income"))</f>
        <v>0</v>
      </c>
      <c r="H191" s="41" cm="1">
        <f t="array" ref="H191">IF(AND(Tracking[[#This Row],[Type]]="Income",shift_late_income_status="Active",DAY(Tracking[[#This Row],[Date]])&gt;=shift_late_income_starting_day),DATE(YEAR(Tracking[[#This Row],[Date]]),MONTH(Tracking[[#This Row],[Date]])+1,1),Tracking[[#This Row],[Date]])</f>
        <v>0</v>
      </c>
    </row>
    <row r="192" spans="2:8" x14ac:dyDescent="0.25">
      <c r="B192" s="37"/>
      <c r="C192" s="38"/>
      <c r="D192" s="38"/>
      <c r="E192" s="39"/>
      <c r="F192" s="38"/>
      <c r="G192" s="40" cm="1">
        <f t="array" ref="G192">SUMPRODUCT(Tracking[Amount],--(Tracking[Date]&lt;=Tracking[[#This Row],[Date]]),(Tracking[Type]&lt;&gt;"Income")*(-1) + (Tracking[Type]="Income"))</f>
        <v>0</v>
      </c>
      <c r="H192" s="41" cm="1">
        <f t="array" ref="H192">IF(AND(Tracking[[#This Row],[Type]]="Income",shift_late_income_status="Active",DAY(Tracking[[#This Row],[Date]])&gt;=shift_late_income_starting_day),DATE(YEAR(Tracking[[#This Row],[Date]]),MONTH(Tracking[[#This Row],[Date]])+1,1),Tracking[[#This Row],[Date]])</f>
        <v>0</v>
      </c>
    </row>
    <row r="193" spans="2:8" x14ac:dyDescent="0.25">
      <c r="B193" s="37"/>
      <c r="C193" s="38"/>
      <c r="D193" s="38"/>
      <c r="E193" s="39"/>
      <c r="F193" s="38"/>
      <c r="G193" s="40" cm="1">
        <f t="array" ref="G193">SUMPRODUCT(Tracking[Amount],--(Tracking[Date]&lt;=Tracking[[#This Row],[Date]]),(Tracking[Type]&lt;&gt;"Income")*(-1) + (Tracking[Type]="Income"))</f>
        <v>0</v>
      </c>
      <c r="H193" s="41" cm="1">
        <f t="array" ref="H193">IF(AND(Tracking[[#This Row],[Type]]="Income",shift_late_income_status="Active",DAY(Tracking[[#This Row],[Date]])&gt;=shift_late_income_starting_day),DATE(YEAR(Tracking[[#This Row],[Date]]),MONTH(Tracking[[#This Row],[Date]])+1,1),Tracking[[#This Row],[Date]])</f>
        <v>0</v>
      </c>
    </row>
    <row r="194" spans="2:8" x14ac:dyDescent="0.25">
      <c r="B194" s="37"/>
      <c r="C194" s="38"/>
      <c r="D194" s="38"/>
      <c r="E194" s="39"/>
      <c r="F194" s="38"/>
      <c r="G194" s="40" cm="1">
        <f t="array" ref="G194">SUMPRODUCT(Tracking[Amount],--(Tracking[Date]&lt;=Tracking[[#This Row],[Date]]),(Tracking[Type]&lt;&gt;"Income")*(-1) + (Tracking[Type]="Income"))</f>
        <v>0</v>
      </c>
      <c r="H194" s="41" cm="1">
        <f t="array" ref="H194">IF(AND(Tracking[[#This Row],[Type]]="Income",shift_late_income_status="Active",DAY(Tracking[[#This Row],[Date]])&gt;=shift_late_income_starting_day),DATE(YEAR(Tracking[[#This Row],[Date]]),MONTH(Tracking[[#This Row],[Date]])+1,1),Tracking[[#This Row],[Date]])</f>
        <v>0</v>
      </c>
    </row>
    <row r="195" spans="2:8" x14ac:dyDescent="0.25">
      <c r="B195" s="37"/>
      <c r="C195" s="38"/>
      <c r="D195" s="38"/>
      <c r="E195" s="39"/>
      <c r="F195" s="38"/>
      <c r="G195" s="40" cm="1">
        <f t="array" ref="G195">SUMPRODUCT(Tracking[Amount],--(Tracking[Date]&lt;=Tracking[[#This Row],[Date]]),(Tracking[Type]&lt;&gt;"Income")*(-1) + (Tracking[Type]="Income"))</f>
        <v>0</v>
      </c>
      <c r="H195" s="41" cm="1">
        <f t="array" ref="H195">IF(AND(Tracking[[#This Row],[Type]]="Income",shift_late_income_status="Active",DAY(Tracking[[#This Row],[Date]])&gt;=shift_late_income_starting_day),DATE(YEAR(Tracking[[#This Row],[Date]]),MONTH(Tracking[[#This Row],[Date]])+1,1),Tracking[[#This Row],[Date]])</f>
        <v>0</v>
      </c>
    </row>
    <row r="196" spans="2:8" x14ac:dyDescent="0.25">
      <c r="B196" s="37"/>
      <c r="C196" s="38"/>
      <c r="D196" s="38"/>
      <c r="E196" s="39"/>
      <c r="F196" s="38"/>
      <c r="G196" s="40" cm="1">
        <f t="array" ref="G196">SUMPRODUCT(Tracking[Amount],--(Tracking[Date]&lt;=Tracking[[#This Row],[Date]]),(Tracking[Type]&lt;&gt;"Income")*(-1) + (Tracking[Type]="Income"))</f>
        <v>0</v>
      </c>
      <c r="H196" s="41" cm="1">
        <f t="array" ref="H196">IF(AND(Tracking[[#This Row],[Type]]="Income",shift_late_income_status="Active",DAY(Tracking[[#This Row],[Date]])&gt;=shift_late_income_starting_day),DATE(YEAR(Tracking[[#This Row],[Date]]),MONTH(Tracking[[#This Row],[Date]])+1,1),Tracking[[#This Row],[Date]])</f>
        <v>0</v>
      </c>
    </row>
    <row r="197" spans="2:8" x14ac:dyDescent="0.25">
      <c r="B197" s="37"/>
      <c r="C197" s="38"/>
      <c r="D197" s="38"/>
      <c r="E197" s="39"/>
      <c r="F197" s="38"/>
      <c r="G197" s="40" cm="1">
        <f t="array" ref="G197">SUMPRODUCT(Tracking[Amount],--(Tracking[Date]&lt;=Tracking[[#This Row],[Date]]),(Tracking[Type]&lt;&gt;"Income")*(-1) + (Tracking[Type]="Income"))</f>
        <v>0</v>
      </c>
      <c r="H197" s="41" cm="1">
        <f t="array" ref="H197">IF(AND(Tracking[[#This Row],[Type]]="Income",shift_late_income_status="Active",DAY(Tracking[[#This Row],[Date]])&gt;=shift_late_income_starting_day),DATE(YEAR(Tracking[[#This Row],[Date]]),MONTH(Tracking[[#This Row],[Date]])+1,1),Tracking[[#This Row],[Date]])</f>
        <v>0</v>
      </c>
    </row>
    <row r="198" spans="2:8" x14ac:dyDescent="0.25">
      <c r="B198" s="37"/>
      <c r="C198" s="38"/>
      <c r="D198" s="38"/>
      <c r="E198" s="39"/>
      <c r="F198" s="38"/>
      <c r="G198" s="40" cm="1">
        <f t="array" ref="G198">SUMPRODUCT(Tracking[Amount],--(Tracking[Date]&lt;=Tracking[[#This Row],[Date]]),(Tracking[Type]&lt;&gt;"Income")*(-1) + (Tracking[Type]="Income"))</f>
        <v>0</v>
      </c>
      <c r="H198" s="41" cm="1">
        <f t="array" ref="H198">IF(AND(Tracking[[#This Row],[Type]]="Income",shift_late_income_status="Active",DAY(Tracking[[#This Row],[Date]])&gt;=shift_late_income_starting_day),DATE(YEAR(Tracking[[#This Row],[Date]]),MONTH(Tracking[[#This Row],[Date]])+1,1),Tracking[[#This Row],[Date]])</f>
        <v>0</v>
      </c>
    </row>
    <row r="199" spans="2:8" x14ac:dyDescent="0.25">
      <c r="B199" s="37"/>
      <c r="C199" s="38"/>
      <c r="D199" s="38"/>
      <c r="E199" s="39"/>
      <c r="F199" s="38"/>
      <c r="G199" s="40" cm="1">
        <f t="array" ref="G199">SUMPRODUCT(Tracking[Amount],--(Tracking[Date]&lt;=Tracking[[#This Row],[Date]]),(Tracking[Type]&lt;&gt;"Income")*(-1) + (Tracking[Type]="Income"))</f>
        <v>0</v>
      </c>
      <c r="H199" s="41" cm="1">
        <f t="array" ref="H199">IF(AND(Tracking[[#This Row],[Type]]="Income",shift_late_income_status="Active",DAY(Tracking[[#This Row],[Date]])&gt;=shift_late_income_starting_day),DATE(YEAR(Tracking[[#This Row],[Date]]),MONTH(Tracking[[#This Row],[Date]])+1,1),Tracking[[#This Row],[Date]])</f>
        <v>0</v>
      </c>
    </row>
    <row r="200" spans="2:8" x14ac:dyDescent="0.25">
      <c r="B200" s="37"/>
      <c r="C200" s="38"/>
      <c r="D200" s="38"/>
      <c r="E200" s="39"/>
      <c r="F200" s="38"/>
      <c r="G200" s="40" cm="1">
        <f t="array" ref="G200">SUMPRODUCT(Tracking[Amount],--(Tracking[Date]&lt;=Tracking[[#This Row],[Date]]),(Tracking[Type]&lt;&gt;"Income")*(-1) + (Tracking[Type]="Income"))</f>
        <v>0</v>
      </c>
      <c r="H200" s="41" cm="1">
        <f t="array" ref="H200">IF(AND(Tracking[[#This Row],[Type]]="Income",shift_late_income_status="Active",DAY(Tracking[[#This Row],[Date]])&gt;=shift_late_income_starting_day),DATE(YEAR(Tracking[[#This Row],[Date]]),MONTH(Tracking[[#This Row],[Date]])+1,1),Tracking[[#This Row],[Date]])</f>
        <v>0</v>
      </c>
    </row>
    <row r="201" spans="2:8" x14ac:dyDescent="0.25">
      <c r="B201" s="37"/>
      <c r="C201" s="38"/>
      <c r="D201" s="38"/>
      <c r="E201" s="39"/>
      <c r="F201" s="38"/>
      <c r="G201" s="40" cm="1">
        <f t="array" ref="G201">SUMPRODUCT(Tracking[Amount],--(Tracking[Date]&lt;=Tracking[[#This Row],[Date]]),(Tracking[Type]&lt;&gt;"Income")*(-1) + (Tracking[Type]="Income"))</f>
        <v>0</v>
      </c>
      <c r="H201" s="41" cm="1">
        <f t="array" ref="H201">IF(AND(Tracking[[#This Row],[Type]]="Income",shift_late_income_status="Active",DAY(Tracking[[#This Row],[Date]])&gt;=shift_late_income_starting_day),DATE(YEAR(Tracking[[#This Row],[Date]]),MONTH(Tracking[[#This Row],[Date]])+1,1),Tracking[[#This Row],[Date]])</f>
        <v>0</v>
      </c>
    </row>
    <row r="202" spans="2:8" x14ac:dyDescent="0.25">
      <c r="B202" s="37"/>
      <c r="C202" s="38"/>
      <c r="D202" s="38"/>
      <c r="E202" s="39"/>
      <c r="F202" s="38"/>
      <c r="G202" s="40" cm="1">
        <f t="array" ref="G202">SUMPRODUCT(Tracking[Amount],--(Tracking[Date]&lt;=Tracking[[#This Row],[Date]]),(Tracking[Type]&lt;&gt;"Income")*(-1) + (Tracking[Type]="Income"))</f>
        <v>0</v>
      </c>
      <c r="H202" s="41" cm="1">
        <f t="array" ref="H202">IF(AND(Tracking[[#This Row],[Type]]="Income",shift_late_income_status="Active",DAY(Tracking[[#This Row],[Date]])&gt;=shift_late_income_starting_day),DATE(YEAR(Tracking[[#This Row],[Date]]),MONTH(Tracking[[#This Row],[Date]])+1,1),Tracking[[#This Row],[Date]])</f>
        <v>0</v>
      </c>
    </row>
    <row r="203" spans="2:8" x14ac:dyDescent="0.25">
      <c r="B203" s="37"/>
      <c r="C203" s="38"/>
      <c r="D203" s="38"/>
      <c r="E203" s="39"/>
      <c r="F203" s="38"/>
      <c r="G203" s="40" cm="1">
        <f t="array" ref="G203">SUMPRODUCT(Tracking[Amount],--(Tracking[Date]&lt;=Tracking[[#This Row],[Date]]),(Tracking[Type]&lt;&gt;"Income")*(-1) + (Tracking[Type]="Income"))</f>
        <v>0</v>
      </c>
      <c r="H203" s="41" cm="1">
        <f t="array" ref="H203">IF(AND(Tracking[[#This Row],[Type]]="Income",shift_late_income_status="Active",DAY(Tracking[[#This Row],[Date]])&gt;=shift_late_income_starting_day),DATE(YEAR(Tracking[[#This Row],[Date]]),MONTH(Tracking[[#This Row],[Date]])+1,1),Tracking[[#This Row],[Date]])</f>
        <v>0</v>
      </c>
    </row>
    <row r="204" spans="2:8" x14ac:dyDescent="0.25">
      <c r="B204" s="37"/>
      <c r="C204" s="38"/>
      <c r="D204" s="38"/>
      <c r="E204" s="39"/>
      <c r="F204" s="38"/>
      <c r="G204" s="40" cm="1">
        <f t="array" ref="G204">SUMPRODUCT(Tracking[Amount],--(Tracking[Date]&lt;=Tracking[[#This Row],[Date]]),(Tracking[Type]&lt;&gt;"Income")*(-1) + (Tracking[Type]="Income"))</f>
        <v>0</v>
      </c>
      <c r="H204" s="41" cm="1">
        <f t="array" ref="H204">IF(AND(Tracking[[#This Row],[Type]]="Income",shift_late_income_status="Active",DAY(Tracking[[#This Row],[Date]])&gt;=shift_late_income_starting_day),DATE(YEAR(Tracking[[#This Row],[Date]]),MONTH(Tracking[[#This Row],[Date]])+1,1),Tracking[[#This Row],[Date]])</f>
        <v>0</v>
      </c>
    </row>
    <row r="205" spans="2:8" x14ac:dyDescent="0.25">
      <c r="B205" s="37"/>
      <c r="C205" s="38"/>
      <c r="D205" s="38"/>
      <c r="E205" s="39"/>
      <c r="F205" s="38"/>
      <c r="G205" s="40" cm="1">
        <f t="array" ref="G205">SUMPRODUCT(Tracking[Amount],--(Tracking[Date]&lt;=Tracking[[#This Row],[Date]]),(Tracking[Type]&lt;&gt;"Income")*(-1) + (Tracking[Type]="Income"))</f>
        <v>0</v>
      </c>
      <c r="H205" s="41" cm="1">
        <f t="array" ref="H205">IF(AND(Tracking[[#This Row],[Type]]="Income",shift_late_income_status="Active",DAY(Tracking[[#This Row],[Date]])&gt;=shift_late_income_starting_day),DATE(YEAR(Tracking[[#This Row],[Date]]),MONTH(Tracking[[#This Row],[Date]])+1,1),Tracking[[#This Row],[Date]])</f>
        <v>0</v>
      </c>
    </row>
    <row r="206" spans="2:8" x14ac:dyDescent="0.25">
      <c r="B206" s="37"/>
      <c r="C206" s="38"/>
      <c r="D206" s="38"/>
      <c r="E206" s="39"/>
      <c r="F206" s="38"/>
      <c r="G206" s="40" cm="1">
        <f t="array" ref="G206">SUMPRODUCT(Tracking[Amount],--(Tracking[Date]&lt;=Tracking[[#This Row],[Date]]),(Tracking[Type]&lt;&gt;"Income")*(-1) + (Tracking[Type]="Income"))</f>
        <v>0</v>
      </c>
      <c r="H206" s="41" cm="1">
        <f t="array" ref="H206">IF(AND(Tracking[[#This Row],[Type]]="Income",shift_late_income_status="Active",DAY(Tracking[[#This Row],[Date]])&gt;=shift_late_income_starting_day),DATE(YEAR(Tracking[[#This Row],[Date]]),MONTH(Tracking[[#This Row],[Date]])+1,1),Tracking[[#This Row],[Date]])</f>
        <v>0</v>
      </c>
    </row>
    <row r="207" spans="2:8" x14ac:dyDescent="0.25">
      <c r="B207" s="37"/>
      <c r="C207" s="38"/>
      <c r="D207" s="38"/>
      <c r="E207" s="39"/>
      <c r="F207" s="38"/>
      <c r="G207" s="40" cm="1">
        <f t="array" ref="G207">SUMPRODUCT(Tracking[Amount],--(Tracking[Date]&lt;=Tracking[[#This Row],[Date]]),(Tracking[Type]&lt;&gt;"Income")*(-1) + (Tracking[Type]="Income"))</f>
        <v>0</v>
      </c>
      <c r="H207" s="41" cm="1">
        <f t="array" ref="H207">IF(AND(Tracking[[#This Row],[Type]]="Income",shift_late_income_status="Active",DAY(Tracking[[#This Row],[Date]])&gt;=shift_late_income_starting_day),DATE(YEAR(Tracking[[#This Row],[Date]]),MONTH(Tracking[[#This Row],[Date]])+1,1),Tracking[[#This Row],[Date]])</f>
        <v>0</v>
      </c>
    </row>
    <row r="208" spans="2:8" x14ac:dyDescent="0.25">
      <c r="B208" s="37"/>
      <c r="C208" s="38"/>
      <c r="D208" s="38"/>
      <c r="E208" s="39"/>
      <c r="F208" s="38"/>
      <c r="G208" s="40" cm="1">
        <f t="array" ref="G208">SUMPRODUCT(Tracking[Amount],--(Tracking[Date]&lt;=Tracking[[#This Row],[Date]]),(Tracking[Type]&lt;&gt;"Income")*(-1) + (Tracking[Type]="Income"))</f>
        <v>0</v>
      </c>
      <c r="H208" s="41" cm="1">
        <f t="array" ref="H208">IF(AND(Tracking[[#This Row],[Type]]="Income",shift_late_income_status="Active",DAY(Tracking[[#This Row],[Date]])&gt;=shift_late_income_starting_day),DATE(YEAR(Tracking[[#This Row],[Date]]),MONTH(Tracking[[#This Row],[Date]])+1,1),Tracking[[#This Row],[Date]])</f>
        <v>0</v>
      </c>
    </row>
    <row r="209" spans="2:8" x14ac:dyDescent="0.25">
      <c r="B209" s="37"/>
      <c r="C209" s="38"/>
      <c r="D209" s="38"/>
      <c r="E209" s="39"/>
      <c r="F209" s="38"/>
      <c r="G209" s="40" cm="1">
        <f t="array" ref="G209">SUMPRODUCT(Tracking[Amount],--(Tracking[Date]&lt;=Tracking[[#This Row],[Date]]),(Tracking[Type]&lt;&gt;"Income")*(-1) + (Tracking[Type]="Income"))</f>
        <v>0</v>
      </c>
      <c r="H209" s="41" cm="1">
        <f t="array" ref="H209">IF(AND(Tracking[[#This Row],[Type]]="Income",shift_late_income_status="Active",DAY(Tracking[[#This Row],[Date]])&gt;=shift_late_income_starting_day),DATE(YEAR(Tracking[[#This Row],[Date]]),MONTH(Tracking[[#This Row],[Date]])+1,1),Tracking[[#This Row],[Date]])</f>
        <v>0</v>
      </c>
    </row>
    <row r="210" spans="2:8" x14ac:dyDescent="0.25">
      <c r="B210" s="37"/>
      <c r="C210" s="38"/>
      <c r="D210" s="38"/>
      <c r="E210" s="39"/>
      <c r="F210" s="38"/>
      <c r="G210" s="40" cm="1">
        <f t="array" ref="G210">SUMPRODUCT(Tracking[Amount],--(Tracking[Date]&lt;=Tracking[[#This Row],[Date]]),(Tracking[Type]&lt;&gt;"Income")*(-1) + (Tracking[Type]="Income"))</f>
        <v>0</v>
      </c>
      <c r="H210" s="41" cm="1">
        <f t="array" ref="H210">IF(AND(Tracking[[#This Row],[Type]]="Income",shift_late_income_status="Active",DAY(Tracking[[#This Row],[Date]])&gt;=shift_late_income_starting_day),DATE(YEAR(Tracking[[#This Row],[Date]]),MONTH(Tracking[[#This Row],[Date]])+1,1),Tracking[[#This Row],[Date]])</f>
        <v>0</v>
      </c>
    </row>
    <row r="211" spans="2:8" x14ac:dyDescent="0.25">
      <c r="B211" s="37"/>
      <c r="C211" s="38"/>
      <c r="D211" s="38"/>
      <c r="E211" s="39"/>
      <c r="F211" s="38"/>
      <c r="G211" s="40" cm="1">
        <f t="array" ref="G211">SUMPRODUCT(Tracking[Amount],--(Tracking[Date]&lt;=Tracking[[#This Row],[Date]]),(Tracking[Type]&lt;&gt;"Income")*(-1) + (Tracking[Type]="Income"))</f>
        <v>0</v>
      </c>
      <c r="H211" s="41" cm="1">
        <f t="array" ref="H211">IF(AND(Tracking[[#This Row],[Type]]="Income",shift_late_income_status="Active",DAY(Tracking[[#This Row],[Date]])&gt;=shift_late_income_starting_day),DATE(YEAR(Tracking[[#This Row],[Date]]),MONTH(Tracking[[#This Row],[Date]])+1,1),Tracking[[#This Row],[Date]])</f>
        <v>0</v>
      </c>
    </row>
    <row r="212" spans="2:8" x14ac:dyDescent="0.25">
      <c r="B212" s="37"/>
      <c r="C212" s="38"/>
      <c r="D212" s="38"/>
      <c r="E212" s="39"/>
      <c r="F212" s="38"/>
      <c r="G212" s="40" cm="1">
        <f t="array" ref="G212">SUMPRODUCT(Tracking[Amount],--(Tracking[Date]&lt;=Tracking[[#This Row],[Date]]),(Tracking[Type]&lt;&gt;"Income")*(-1) + (Tracking[Type]="Income"))</f>
        <v>0</v>
      </c>
      <c r="H212" s="41" cm="1">
        <f t="array" ref="H212">IF(AND(Tracking[[#This Row],[Type]]="Income",shift_late_income_status="Active",DAY(Tracking[[#This Row],[Date]])&gt;=shift_late_income_starting_day),DATE(YEAR(Tracking[[#This Row],[Date]]),MONTH(Tracking[[#This Row],[Date]])+1,1),Tracking[[#This Row],[Date]])</f>
        <v>0</v>
      </c>
    </row>
    <row r="213" spans="2:8" x14ac:dyDescent="0.25">
      <c r="B213" s="37"/>
      <c r="C213" s="38"/>
      <c r="D213" s="38"/>
      <c r="E213" s="39"/>
      <c r="F213" s="38"/>
      <c r="G213" s="40" cm="1">
        <f t="array" ref="G213">SUMPRODUCT(Tracking[Amount],--(Tracking[Date]&lt;=Tracking[[#This Row],[Date]]),(Tracking[Type]&lt;&gt;"Income")*(-1) + (Tracking[Type]="Income"))</f>
        <v>0</v>
      </c>
      <c r="H213" s="41" cm="1">
        <f t="array" ref="H213">IF(AND(Tracking[[#This Row],[Type]]="Income",shift_late_income_status="Active",DAY(Tracking[[#This Row],[Date]])&gt;=shift_late_income_starting_day),DATE(YEAR(Tracking[[#This Row],[Date]]),MONTH(Tracking[[#This Row],[Date]])+1,1),Tracking[[#This Row],[Date]])</f>
        <v>0</v>
      </c>
    </row>
    <row r="214" spans="2:8" x14ac:dyDescent="0.25">
      <c r="B214" s="37"/>
      <c r="C214" s="38"/>
      <c r="D214" s="38"/>
      <c r="E214" s="39"/>
      <c r="F214" s="38"/>
      <c r="G214" s="40" cm="1">
        <f t="array" ref="G214">SUMPRODUCT(Tracking[Amount],--(Tracking[Date]&lt;=Tracking[[#This Row],[Date]]),(Tracking[Type]&lt;&gt;"Income")*(-1) + (Tracking[Type]="Income"))</f>
        <v>0</v>
      </c>
      <c r="H214" s="41" cm="1">
        <f t="array" ref="H214">IF(AND(Tracking[[#This Row],[Type]]="Income",shift_late_income_status="Active",DAY(Tracking[[#This Row],[Date]])&gt;=shift_late_income_starting_day),DATE(YEAR(Tracking[[#This Row],[Date]]),MONTH(Tracking[[#This Row],[Date]])+1,1),Tracking[[#This Row],[Date]])</f>
        <v>0</v>
      </c>
    </row>
    <row r="215" spans="2:8" x14ac:dyDescent="0.25">
      <c r="B215" s="37"/>
      <c r="C215" s="38"/>
      <c r="D215" s="38"/>
      <c r="E215" s="39"/>
      <c r="F215" s="38"/>
      <c r="G215" s="40" cm="1">
        <f t="array" ref="G215">SUMPRODUCT(Tracking[Amount],--(Tracking[Date]&lt;=Tracking[[#This Row],[Date]]),(Tracking[Type]&lt;&gt;"Income")*(-1) + (Tracking[Type]="Income"))</f>
        <v>0</v>
      </c>
      <c r="H215" s="41" cm="1">
        <f t="array" ref="H215">IF(AND(Tracking[[#This Row],[Type]]="Income",shift_late_income_status="Active",DAY(Tracking[[#This Row],[Date]])&gt;=shift_late_income_starting_day),DATE(YEAR(Tracking[[#This Row],[Date]]),MONTH(Tracking[[#This Row],[Date]])+1,1),Tracking[[#This Row],[Date]])</f>
        <v>0</v>
      </c>
    </row>
    <row r="216" spans="2:8" x14ac:dyDescent="0.25">
      <c r="B216" s="37"/>
      <c r="C216" s="38"/>
      <c r="D216" s="38"/>
      <c r="E216" s="39"/>
      <c r="F216" s="38"/>
      <c r="G216" s="40" cm="1">
        <f t="array" ref="G216">SUMPRODUCT(Tracking[Amount],--(Tracking[Date]&lt;=Tracking[[#This Row],[Date]]),(Tracking[Type]&lt;&gt;"Income")*(-1) + (Tracking[Type]="Income"))</f>
        <v>0</v>
      </c>
      <c r="H216" s="41" cm="1">
        <f t="array" ref="H216">IF(AND(Tracking[[#This Row],[Type]]="Income",shift_late_income_status="Active",DAY(Tracking[[#This Row],[Date]])&gt;=shift_late_income_starting_day),DATE(YEAR(Tracking[[#This Row],[Date]]),MONTH(Tracking[[#This Row],[Date]])+1,1),Tracking[[#This Row],[Date]])</f>
        <v>0</v>
      </c>
    </row>
    <row r="217" spans="2:8" x14ac:dyDescent="0.25">
      <c r="B217" s="37"/>
      <c r="C217" s="38"/>
      <c r="D217" s="38"/>
      <c r="E217" s="39"/>
      <c r="F217" s="38"/>
      <c r="G217" s="40" cm="1">
        <f t="array" ref="G217">SUMPRODUCT(Tracking[Amount],--(Tracking[Date]&lt;=Tracking[[#This Row],[Date]]),(Tracking[Type]&lt;&gt;"Income")*(-1) + (Tracking[Type]="Income"))</f>
        <v>0</v>
      </c>
      <c r="H217" s="41" cm="1">
        <f t="array" ref="H217">IF(AND(Tracking[[#This Row],[Type]]="Income",shift_late_income_status="Active",DAY(Tracking[[#This Row],[Date]])&gt;=shift_late_income_starting_day),DATE(YEAR(Tracking[[#This Row],[Date]]),MONTH(Tracking[[#This Row],[Date]])+1,1),Tracking[[#This Row],[Date]])</f>
        <v>0</v>
      </c>
    </row>
    <row r="218" spans="2:8" x14ac:dyDescent="0.25">
      <c r="B218" s="37"/>
      <c r="C218" s="38"/>
      <c r="D218" s="38"/>
      <c r="E218" s="39"/>
      <c r="F218" s="38"/>
      <c r="G218" s="40" cm="1">
        <f t="array" ref="G218">SUMPRODUCT(Tracking[Amount],--(Tracking[Date]&lt;=Tracking[[#This Row],[Date]]),(Tracking[Type]&lt;&gt;"Income")*(-1) + (Tracking[Type]="Income"))</f>
        <v>0</v>
      </c>
      <c r="H218" s="41" cm="1">
        <f t="array" ref="H218">IF(AND(Tracking[[#This Row],[Type]]="Income",shift_late_income_status="Active",DAY(Tracking[[#This Row],[Date]])&gt;=shift_late_income_starting_day),DATE(YEAR(Tracking[[#This Row],[Date]]),MONTH(Tracking[[#This Row],[Date]])+1,1),Tracking[[#This Row],[Date]])</f>
        <v>0</v>
      </c>
    </row>
    <row r="219" spans="2:8" x14ac:dyDescent="0.25">
      <c r="B219" s="37"/>
      <c r="C219" s="38"/>
      <c r="D219" s="38"/>
      <c r="E219" s="39"/>
      <c r="F219" s="38"/>
      <c r="G219" s="40" cm="1">
        <f t="array" ref="G219">SUMPRODUCT(Tracking[Amount],--(Tracking[Date]&lt;=Tracking[[#This Row],[Date]]),(Tracking[Type]&lt;&gt;"Income")*(-1) + (Tracking[Type]="Income"))</f>
        <v>0</v>
      </c>
      <c r="H219" s="41" cm="1">
        <f t="array" ref="H219">IF(AND(Tracking[[#This Row],[Type]]="Income",shift_late_income_status="Active",DAY(Tracking[[#This Row],[Date]])&gt;=shift_late_income_starting_day),DATE(YEAR(Tracking[[#This Row],[Date]]),MONTH(Tracking[[#This Row],[Date]])+1,1),Tracking[[#This Row],[Date]])</f>
        <v>0</v>
      </c>
    </row>
    <row r="220" spans="2:8" x14ac:dyDescent="0.25">
      <c r="B220" s="37"/>
      <c r="C220" s="38"/>
      <c r="D220" s="38"/>
      <c r="E220" s="39"/>
      <c r="F220" s="38"/>
      <c r="G220" s="40" cm="1">
        <f t="array" ref="G220">SUMPRODUCT(Tracking[Amount],--(Tracking[Date]&lt;=Tracking[[#This Row],[Date]]),(Tracking[Type]&lt;&gt;"Income")*(-1) + (Tracking[Type]="Income"))</f>
        <v>0</v>
      </c>
      <c r="H220" s="41" cm="1">
        <f t="array" ref="H220">IF(AND(Tracking[[#This Row],[Type]]="Income",shift_late_income_status="Active",DAY(Tracking[[#This Row],[Date]])&gt;=shift_late_income_starting_day),DATE(YEAR(Tracking[[#This Row],[Date]]),MONTH(Tracking[[#This Row],[Date]])+1,1),Tracking[[#This Row],[Date]])</f>
        <v>0</v>
      </c>
    </row>
    <row r="221" spans="2:8" x14ac:dyDescent="0.25">
      <c r="B221" s="37"/>
      <c r="C221" s="38"/>
      <c r="D221" s="38"/>
      <c r="E221" s="39"/>
      <c r="F221" s="38"/>
      <c r="G221" s="40" cm="1">
        <f t="array" ref="G221">SUMPRODUCT(Tracking[Amount],--(Tracking[Date]&lt;=Tracking[[#This Row],[Date]]),(Tracking[Type]&lt;&gt;"Income")*(-1) + (Tracking[Type]="Income"))</f>
        <v>0</v>
      </c>
      <c r="H221" s="41" cm="1">
        <f t="array" ref="H221">IF(AND(Tracking[[#This Row],[Type]]="Income",shift_late_income_status="Active",DAY(Tracking[[#This Row],[Date]])&gt;=shift_late_income_starting_day),DATE(YEAR(Tracking[[#This Row],[Date]]),MONTH(Tracking[[#This Row],[Date]])+1,1),Tracking[[#This Row],[Date]])</f>
        <v>0</v>
      </c>
    </row>
    <row r="222" spans="2:8" x14ac:dyDescent="0.25">
      <c r="B222" s="37"/>
      <c r="C222" s="38"/>
      <c r="D222" s="38"/>
      <c r="E222" s="39"/>
      <c r="F222" s="38"/>
      <c r="G222" s="40" cm="1">
        <f t="array" ref="G222">SUMPRODUCT(Tracking[Amount],--(Tracking[Date]&lt;=Tracking[[#This Row],[Date]]),(Tracking[Type]&lt;&gt;"Income")*(-1) + (Tracking[Type]="Income"))</f>
        <v>0</v>
      </c>
      <c r="H222" s="41" cm="1">
        <f t="array" ref="H222">IF(AND(Tracking[[#This Row],[Type]]="Income",shift_late_income_status="Active",DAY(Tracking[[#This Row],[Date]])&gt;=shift_late_income_starting_day),DATE(YEAR(Tracking[[#This Row],[Date]]),MONTH(Tracking[[#This Row],[Date]])+1,1),Tracking[[#This Row],[Date]])</f>
        <v>0</v>
      </c>
    </row>
  </sheetData>
  <mergeCells count="4">
    <mergeCell ref="A1:E2"/>
    <mergeCell ref="C6:D6"/>
    <mergeCell ref="E6:F6"/>
    <mergeCell ref="G6:H6"/>
  </mergeCells>
  <conditionalFormatting sqref="D12:D222">
    <cfRule type="expression" dxfId="10" priority="3">
      <formula>ISNA(MATCH(D12, INDIRECT(C12),0))</formula>
    </cfRule>
  </conditionalFormatting>
  <conditionalFormatting sqref="E12:E222">
    <cfRule type="expression" dxfId="9" priority="2">
      <formula>C12="Income"</formula>
    </cfRule>
  </conditionalFormatting>
  <conditionalFormatting sqref="H12:H222">
    <cfRule type="expression" dxfId="8" priority="1">
      <formula>AND(C12="Income",shift_late_income_status="Active",DAY(B12)&gt;=shift_late_income_starting_day)</formula>
    </cfRule>
  </conditionalFormatting>
  <dataValidations count="4">
    <dataValidation type="date" operator="greaterThan" allowBlank="1" showInputMessage="1" showErrorMessage="1" errorTitle="Invalid Date" error="Please enter a valid date" sqref="B12:B47 B49:B222" xr:uid="{45AF5BAA-0575-44AD-836D-9EB9D750B17F}">
      <formula1>1</formula1>
    </dataValidation>
    <dataValidation type="list" allowBlank="1" showInputMessage="1" showErrorMessage="1" errorTitle="Invalid Type" error="Please select a valid type from the dropdown list" sqref="C12:C47 C49:C222" xr:uid="{06610051-405D-4F77-9E3D-BB7E02B4A608}">
      <formula1>"Income, Expenses, Savings"</formula1>
    </dataValidation>
    <dataValidation type="list" allowBlank="1" showInputMessage="1" showErrorMessage="1" errorTitle="Invalid Category" error="Please select a valid category from the dropdown list" sqref="D12:D47 D49:D222" xr:uid="{A8A797DA-66D8-4312-AFFC-3506414998E4}">
      <formula1>IF(ISBLANK(C12),"",INDIRECT(C12))</formula1>
    </dataValidation>
    <dataValidation type="custom" allowBlank="1" showInputMessage="1" showErrorMessage="1" errorTitle="Invalid Amount" error="Please enter a valid amount" sqref="E12:E47 E49:E222" xr:uid="{D04331EB-54B0-42BC-9F9C-3C06BE8F949A}">
      <formula1>ISNUMBER(E12)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52A06-33F8-469B-A07A-85685272E998}">
  <dimension ref="A1:AR60"/>
  <sheetViews>
    <sheetView topLeftCell="A7" workbookViewId="0">
      <selection activeCell="Z23" sqref="Z23"/>
    </sheetView>
  </sheetViews>
  <sheetFormatPr defaultRowHeight="15" x14ac:dyDescent="0.25"/>
  <cols>
    <col min="1" max="1" width="3" style="24" customWidth="1"/>
    <col min="2" max="2" width="3.28515625" style="24" customWidth="1"/>
    <col min="3" max="3" width="9.140625" style="24" hidden="1" customWidth="1"/>
    <col min="4" max="4" width="13.7109375" style="24" hidden="1" customWidth="1"/>
    <col min="5" max="9" width="9.140625" style="24" hidden="1" customWidth="1"/>
    <col min="10" max="10" width="32.140625" style="24" hidden="1" customWidth="1"/>
    <col min="11" max="11" width="10.5703125" style="24" hidden="1" customWidth="1"/>
    <col min="12" max="12" width="9.140625" style="24" hidden="1" customWidth="1"/>
    <col min="13" max="13" width="12.85546875" style="24" hidden="1" customWidth="1"/>
    <col min="14" max="14" width="13.28515625" style="24" hidden="1" customWidth="1"/>
    <col min="15" max="15" width="13.5703125" style="24" hidden="1" customWidth="1"/>
    <col min="16" max="16" width="12.42578125" style="24" hidden="1" customWidth="1"/>
    <col min="17" max="17" width="12.85546875" style="24" hidden="1" customWidth="1"/>
    <col min="18" max="18" width="11.85546875" style="24" hidden="1" customWidth="1"/>
    <col min="19" max="19" width="10.85546875" style="24" hidden="1" customWidth="1"/>
    <col min="20" max="21" width="16.85546875" style="24" hidden="1" customWidth="1"/>
    <col min="22" max="22" width="26.7109375" style="24" hidden="1" customWidth="1"/>
    <col min="23" max="23" width="18.140625" style="24" hidden="1" customWidth="1"/>
    <col min="24" max="24" width="1.7109375" style="24" hidden="1" customWidth="1"/>
    <col min="25" max="25" width="31.28515625" style="24" customWidth="1"/>
    <col min="26" max="27" width="9.140625" style="24" customWidth="1"/>
    <col min="28" max="28" width="7.7109375" style="24" bestFit="1" customWidth="1"/>
    <col min="29" max="30" width="9.140625" style="24" customWidth="1"/>
    <col min="31" max="31" width="3.28515625" style="24" customWidth="1"/>
    <col min="32" max="16384" width="9.140625" style="24"/>
  </cols>
  <sheetData>
    <row r="1" spans="1:44" s="45" customFormat="1" ht="15" customHeight="1" x14ac:dyDescent="0.25">
      <c r="A1" s="54"/>
      <c r="B1" s="54"/>
    </row>
    <row r="2" spans="1:44" s="45" customFormat="1" ht="31.5" x14ac:dyDescent="0.5">
      <c r="A2" s="54"/>
      <c r="B2" s="54"/>
      <c r="C2" s="54" t="s">
        <v>37</v>
      </c>
      <c r="Y2" s="71" t="s">
        <v>37</v>
      </c>
    </row>
    <row r="3" spans="1:44" s="45" customFormat="1" ht="15" customHeight="1" x14ac:dyDescent="0.25">
      <c r="A3" s="54"/>
      <c r="B3" s="54"/>
      <c r="C3" s="54"/>
    </row>
    <row r="5" spans="1:44" x14ac:dyDescent="0.25">
      <c r="AQ5" s="85" t="s">
        <v>38</v>
      </c>
      <c r="AR5" s="86"/>
    </row>
    <row r="6" spans="1:44" x14ac:dyDescent="0.25">
      <c r="AN6" s="87" t="s">
        <v>39</v>
      </c>
      <c r="AO6" s="87"/>
      <c r="AP6" s="87"/>
      <c r="AQ6" s="88" t="s">
        <v>40</v>
      </c>
      <c r="AR6" s="88"/>
    </row>
    <row r="8" spans="1:44" x14ac:dyDescent="0.25">
      <c r="AQ8" s="85" t="s">
        <v>41</v>
      </c>
      <c r="AR8" s="86"/>
    </row>
    <row r="9" spans="1:44" x14ac:dyDescent="0.25">
      <c r="AN9" s="87" t="s">
        <v>42</v>
      </c>
      <c r="AO9" s="87"/>
      <c r="AP9" s="87"/>
      <c r="AQ9" s="89">
        <v>36557</v>
      </c>
      <c r="AR9" s="89"/>
    </row>
    <row r="11" spans="1:44" x14ac:dyDescent="0.25">
      <c r="C11" s="55"/>
      <c r="D11" s="55"/>
      <c r="E11" s="55"/>
      <c r="F11" s="55"/>
      <c r="G11" s="55"/>
      <c r="H11" s="55"/>
      <c r="I11" s="55"/>
      <c r="J11" s="55"/>
      <c r="K11" s="55"/>
      <c r="L11" s="55"/>
      <c r="M11" s="55"/>
      <c r="N11" s="55"/>
      <c r="O11" s="55"/>
      <c r="P11" s="55"/>
      <c r="Q11" s="55"/>
      <c r="R11" s="55"/>
      <c r="S11" s="55"/>
      <c r="T11" s="55"/>
      <c r="U11" s="55"/>
      <c r="V11" s="55"/>
      <c r="W11" s="55"/>
      <c r="X11" s="55"/>
      <c r="Y11" s="84" t="str" cm="1">
        <f t="array" aca="1" ref="Y11" ca="1">"Breakdown - " &amp; IF(selected_period="Total Year","Total Year",selected_period_display) &amp; " " &amp; selected_year</f>
        <v>Breakdown - February 2026</v>
      </c>
      <c r="Z11" s="84"/>
      <c r="AA11" s="84"/>
      <c r="AB11" s="84"/>
      <c r="AC11" s="84"/>
      <c r="AD11" s="84"/>
      <c r="AF11" s="84" t="s">
        <v>44</v>
      </c>
      <c r="AG11" s="84"/>
      <c r="AH11" s="84"/>
      <c r="AI11" s="84"/>
      <c r="AJ11" s="84"/>
      <c r="AK11" s="84"/>
      <c r="AL11" s="84"/>
      <c r="AM11" s="84"/>
      <c r="AN11" s="84"/>
      <c r="AO11" s="84"/>
      <c r="AP11" s="84"/>
      <c r="AQ11" s="84"/>
      <c r="AR11" s="84"/>
    </row>
    <row r="12" spans="1:44" x14ac:dyDescent="0.25">
      <c r="C12" s="58" t="s">
        <v>45</v>
      </c>
      <c r="D12" s="59" t="s">
        <v>46</v>
      </c>
      <c r="E12" s="59" t="s">
        <v>47</v>
      </c>
      <c r="F12" s="58" t="s">
        <v>48</v>
      </c>
      <c r="G12" s="59" t="s">
        <v>49</v>
      </c>
      <c r="H12" s="59" t="s">
        <v>50</v>
      </c>
      <c r="I12" s="58" t="s">
        <v>51</v>
      </c>
      <c r="J12" s="59" t="s">
        <v>52</v>
      </c>
      <c r="K12" s="59" t="s">
        <v>53</v>
      </c>
      <c r="L12" s="60" t="s">
        <v>54</v>
      </c>
      <c r="M12" s="56" t="s">
        <v>78</v>
      </c>
      <c r="N12" s="56" t="s">
        <v>79</v>
      </c>
      <c r="O12" s="65" t="s">
        <v>80</v>
      </c>
      <c r="P12" s="56" t="s">
        <v>81</v>
      </c>
      <c r="Q12" s="56" t="s">
        <v>82</v>
      </c>
      <c r="R12" s="66" t="s">
        <v>83</v>
      </c>
      <c r="S12" s="56" t="s">
        <v>84</v>
      </c>
      <c r="T12" s="56" t="s">
        <v>85</v>
      </c>
      <c r="U12" s="56" t="s">
        <v>88</v>
      </c>
      <c r="V12" s="56" t="s">
        <v>87</v>
      </c>
      <c r="W12" s="56" t="s">
        <v>86</v>
      </c>
      <c r="X12" s="56" t="s">
        <v>89</v>
      </c>
    </row>
    <row r="13" spans="1:44" x14ac:dyDescent="0.25">
      <c r="C13" s="57" cm="1">
        <f t="array" ref="C13">income_header_row</f>
        <v>9</v>
      </c>
      <c r="D13" s="24">
        <f t="shared" ref="D13:D60" si="0">IF(is_header,row_id,
       IF(NOT(is_empty),D12,-1))</f>
        <v>9</v>
      </c>
      <c r="E13" s="62" cm="1">
        <f t="array" ref="E13">1*OR(row_id=income_header_row,row_id=expenses_header_row,row_id=savings_header_row)</f>
        <v>1</v>
      </c>
      <c r="F13" s="24">
        <f>1*NOT(OR(E13,G13,H13))</f>
        <v>0</v>
      </c>
      <c r="G13" s="24" cm="1">
        <f t="array" ref="G13">OR(row_id=income_total_row,row_id=expenses_total_row,row_id=savings_total_row)*1</f>
        <v>0</v>
      </c>
      <c r="H13" s="61">
        <f t="shared" ref="H13:H60" si="1">1*OR(row_id="/1",row_id="/2",row_id=-1)</f>
        <v>0</v>
      </c>
      <c r="I13" s="24" t="str" cm="1">
        <f t="array" ref="I13">IFERROR(INDEX('Budget Planning'!C:C,header_row_id),"")</f>
        <v>Income</v>
      </c>
      <c r="J13" s="24" t="str" cm="1">
        <f t="array" ref="J13">IFERROR(INDEX('Budget Planning'!C:C,row_id),"")</f>
        <v>Income</v>
      </c>
      <c r="K13" s="35" t="str" cm="1">
        <f t="array" ref="K13">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13" s="24" t="str" cm="1">
        <f t="array" ref="L13">IF(OR(is_header,is_empty),"",
INDEX('Budget Planning'!$E:$CI,row_id,
MATCH(IF(selected_period="Total Year",selected_year,DATE(selected_year,selected_period,1)),'Budget Planning'!$E$9:$CI$9,0)))</f>
        <v/>
      </c>
      <c r="M13" s="62" t="str" cm="1">
        <f t="array" ref="M13">IF(is_cat,
IF(header_row_id=income_header_row,MATCH(income_min_row,$C:$C,0),
   IF(header_row_id=expenses_header_row,MATCH(expenses_min_row,$C:$C,0),
      IF(header_row_id=savings_header_row,MATCH(savings_min_row,$C:$C,0),""))),"")</f>
        <v/>
      </c>
      <c r="N13" s="24" t="str" cm="1">
        <f t="array" ref="N13">IF(is_cat,
IF(header_row_id=income_header_row,MATCH(income_max_row,$C:$C,0),
   IF(header_row_id=expenses_header_row,MATCH(expenses_max_row,$C:$C,0),
      IF(header_row_id=savings_header_row,MATCH(savings_max_row,$C:$C,0),""))),"")</f>
        <v/>
      </c>
      <c r="O13" s="62" t="str">
        <f t="shared" ref="O13:O60" si="2">IF(is_cat,ADDRESS(sort_min_row,COLUMN(tracked)) &amp; ":" &amp; ADDRESS(sort_max_row,COLUMN(tracked)),"")</f>
        <v/>
      </c>
      <c r="P13" s="24" t="str">
        <f t="shared" ref="P13:P60" ca="1" si="3">IF(is_cat,RANK(tracked,INDIRECT(tracked_range),0),"")</f>
        <v/>
      </c>
      <c r="Q13" s="24" t="str">
        <f t="shared" ref="Q13:Q60" si="4">IF(is_cat,ADDRESS(sort_min_row,COLUMN(budget)) &amp; ":" &amp; ADDRESS(sort_max_row,COLUMN(budget)),"")</f>
        <v/>
      </c>
      <c r="R13" s="24" t="str">
        <f t="shared" ref="R13:R60" ca="1" si="5">IF(is_cat,RANK(budget,INDIRECT(budget_range),0),"")</f>
        <v/>
      </c>
      <c r="S13" s="62" t="str">
        <f t="shared" ref="S13:S60" si="6">IF(is_cat,_xlfn.NUMBERVALUE(tracked_rank &amp; budget_rank),"")</f>
        <v/>
      </c>
      <c r="T13" s="24" t="str">
        <f t="shared" ref="T13:T60" si="7">IF(is_cat,ADDRESS(sort_min_row,COLUMN(comb_rank)) &amp; ":" &amp; ADDRESS(sort_max_row,COLUMN(comb_rank)),"")</f>
        <v/>
      </c>
      <c r="U13" s="24" t="str">
        <f t="shared" ref="U13:U60" ca="1" si="8">IF(is_cat,RANK(comb_rank,INDIRECT(comb_rank_range),1),"")</f>
        <v/>
      </c>
      <c r="V13" s="24" t="str">
        <f t="shared" ref="V13:V60" si="9">IF(is_cat,ADDRESS(sort_min_row,COLUMN(comb_rank_norm)) &amp; ":" &amp; ADDRESS(ROW(),COLUMN(comb_rank_norm)),"")</f>
        <v/>
      </c>
      <c r="W13" s="61" t="str">
        <f t="shared" ref="W13:W60" ca="1" si="10">IF(is_cat,comb_rank_norm + COUNTIF(INDIRECT(comb_rank_norm_run_range),comb_rank_norm)-1,"")</f>
        <v/>
      </c>
      <c r="X13" s="67">
        <f t="shared" ref="X13:X60" si="11">IF(is_cat,header_row_id + comb_rank_unique,row_id)</f>
        <v>9</v>
      </c>
      <c r="Y13" s="68" t="str">
        <f t="shared" ref="Y13:Y60" si="12">IF(is_empty,"",INDEX(J:J,MATCH(row_id,$X:$X,0)))</f>
        <v>Income</v>
      </c>
      <c r="Z13" s="70" t="str">
        <f t="shared" ref="Z13:Z60" si="13">IF(is_empty,"",IF(is_header,"Tracked",INDEX($K:$K,MATCH(row_id,$X:$X,0))))</f>
        <v>Tracked</v>
      </c>
      <c r="AA13" s="70" t="str">
        <f t="shared" ref="AA13:AA60" si="14">IF(is_empty,"",IF(is_header,"Budget",INDEX($L:$L,MATCH(row_id,$X:$X,0))))</f>
        <v>Budget</v>
      </c>
      <c r="AB13" s="69" t="str">
        <f t="shared" ref="AB13:AB60" si="15">IF(is_empty,"",IF(is_header,"% Compl",IFERROR(out_tracked/out_budget,"-")))</f>
        <v>% Compl</v>
      </c>
      <c r="AC13" s="70" t="str">
        <f t="shared" ref="AC13:AC60" si="16">IF(is_empty,"",IF(is_header,"Remaining",IF(out_budget-out_tracked&gt;0,out_budget-out_tracked,0)))</f>
        <v>Remaining</v>
      </c>
      <c r="AD13" s="70" t="str">
        <f t="shared" ref="AD13:AD60" si="17">IF(is_empty,"",IF(is_header,"Excess",IF(out_budget-out_tracked&lt;0,out_tracked-out_budget,0)))</f>
        <v>Excess</v>
      </c>
    </row>
    <row r="14" spans="1:44" x14ac:dyDescent="0.25">
      <c r="C14" s="57" cm="1">
        <f t="array" ref="C14">IF(C13=-1,-1,
    IF(C13&lt;income_max_row,C13+1,
       IF(C13=income_max_row,income_total_row,
          IF(C13=income_total_row,"/1",
             IF(C13="/1",expenses_header_row,
                IF(C13&lt;expenses_max_row,C13+1,
                   IF(C13=expenses_max_row,expenses_total_row,
                      IF(C13=expenses_total_row,"/2",
                         IF(C13="/2",savings_header_row,
                            IF(C13&lt;savings_max_row,C13+1,
                               IF(C13=savings_max_row,savings_total_row,-1)))))))))))</f>
        <v>10</v>
      </c>
      <c r="D14" s="24">
        <f t="shared" si="0"/>
        <v>9</v>
      </c>
      <c r="E14" s="62" cm="1">
        <f t="array" ref="E14">1*OR(row_id=income_header_row,row_id=expenses_header_row,row_id=savings_header_row)</f>
        <v>0</v>
      </c>
      <c r="F14" s="24">
        <f t="shared" ref="F14:F60" si="18">1*NOT(OR(E14,G14,H14))</f>
        <v>1</v>
      </c>
      <c r="G14" s="24" cm="1">
        <f t="array" ref="G14">OR(row_id=income_total_row,row_id=expenses_total_row,row_id=savings_total_row)*1</f>
        <v>0</v>
      </c>
      <c r="H14" s="61">
        <f t="shared" si="1"/>
        <v>0</v>
      </c>
      <c r="I14" s="24" t="str" cm="1">
        <f t="array" ref="I14">IFERROR(INDEX('Budget Planning'!C:C,header_row_id),"")</f>
        <v>Income</v>
      </c>
      <c r="J14" s="24" t="str" cm="1">
        <f t="array" ref="J14">IFERROR(INDEX('Budget Planning'!C:C,row_id),"")</f>
        <v>Employment (Net)</v>
      </c>
      <c r="K14" s="35" cm="1">
        <f t="array" aca="1" ref="K14"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5146.8899999999994</v>
      </c>
      <c r="L14" s="24" cm="1">
        <f t="array" aca="1" ref="L14" ca="1">IF(OR(is_header,is_empty),"",
INDEX('Budget Planning'!$E:$CI,row_id,
MATCH(IF(selected_period="Total Year",selected_year,DATE(selected_year,selected_period,1)),'Budget Planning'!$E$9:$CI$9,0)))</f>
        <v>5083.34</v>
      </c>
      <c r="M14" s="62" cm="1">
        <f t="array" ref="M14">IF(is_cat,
IF(header_row_id=income_header_row,MATCH(income_min_row,$C:$C,0),
   IF(header_row_id=expenses_header_row,MATCH(expenses_min_row,$C:$C,0),
      IF(header_row_id=savings_header_row,MATCH(savings_min_row,$C:$C,0),""))),"")</f>
        <v>14</v>
      </c>
      <c r="N14" s="24" cm="1">
        <f t="array" ref="N14">IF(is_cat,
IF(header_row_id=income_header_row,MATCH(income_max_row,$C:$C,0),
   IF(header_row_id=expenses_header_row,MATCH(expenses_max_row,$C:$C,0),
      IF(header_row_id=savings_header_row,MATCH(savings_max_row,$C:$C,0),""))),"")</f>
        <v>18</v>
      </c>
      <c r="O14" s="62" t="str">
        <f t="shared" si="2"/>
        <v>$K$14:$K$18</v>
      </c>
      <c r="P14" s="24">
        <f t="shared" ca="1" si="3"/>
        <v>1</v>
      </c>
      <c r="Q14" s="24" t="str">
        <f t="shared" si="4"/>
        <v>$L$14:$L$18</v>
      </c>
      <c r="R14" s="24">
        <f t="shared" ca="1" si="5"/>
        <v>1</v>
      </c>
      <c r="S14" s="62">
        <f t="shared" ca="1" si="6"/>
        <v>11</v>
      </c>
      <c r="T14" s="24" t="str">
        <f t="shared" si="7"/>
        <v>$S$14:$S$18</v>
      </c>
      <c r="U14" s="24">
        <f t="shared" ca="1" si="8"/>
        <v>1</v>
      </c>
      <c r="V14" s="24" t="str">
        <f t="shared" si="9"/>
        <v>$U$14:$U$14</v>
      </c>
      <c r="W14" s="61">
        <f t="shared" ca="1" si="10"/>
        <v>1</v>
      </c>
      <c r="X14" s="67">
        <f t="shared" ca="1" si="11"/>
        <v>10</v>
      </c>
      <c r="Y14" s="68" t="str">
        <f t="shared" ca="1" si="12"/>
        <v>Employment (Net)</v>
      </c>
      <c r="Z14" s="70">
        <f t="shared" ca="1" si="13"/>
        <v>5146.8899999999994</v>
      </c>
      <c r="AA14" s="70">
        <f t="shared" ca="1" si="14"/>
        <v>5083.34</v>
      </c>
      <c r="AB14" s="69">
        <f t="shared" ca="1" si="15"/>
        <v>1.0125016229486912</v>
      </c>
      <c r="AC14" s="70">
        <f t="shared" ca="1" si="16"/>
        <v>0</v>
      </c>
      <c r="AD14" s="70">
        <f t="shared" ca="1" si="17"/>
        <v>63.549999999999272</v>
      </c>
      <c r="AH14" s="72"/>
    </row>
    <row r="15" spans="1:44" x14ac:dyDescent="0.25">
      <c r="C15" s="57" cm="1">
        <f t="array" ref="C15">IF(C14=-1,-1,
    IF(C14&lt;income_max_row,C14+1,
       IF(C14=income_max_row,income_total_row,
          IF(C14=income_total_row,"/1",
             IF(C14="/1",expenses_header_row,
                IF(C14&lt;expenses_max_row,C14+1,
                   IF(C14=expenses_max_row,expenses_total_row,
                      IF(C14=expenses_total_row,"/2",
                         IF(C14="/2",savings_header_row,
                            IF(C14&lt;savings_max_row,C14+1,
                               IF(C14=savings_max_row,savings_total_row,-1)))))))))))</f>
        <v>11</v>
      </c>
      <c r="D15" s="24">
        <f t="shared" si="0"/>
        <v>9</v>
      </c>
      <c r="E15" s="62" cm="1">
        <f t="array" ref="E15">1*OR(row_id=income_header_row,row_id=expenses_header_row,row_id=savings_header_row)</f>
        <v>0</v>
      </c>
      <c r="F15" s="24">
        <f t="shared" si="18"/>
        <v>1</v>
      </c>
      <c r="G15" s="24" cm="1">
        <f t="array" ref="G15">OR(row_id=income_total_row,row_id=expenses_total_row,row_id=savings_total_row)*1</f>
        <v>0</v>
      </c>
      <c r="H15" s="61">
        <f t="shared" si="1"/>
        <v>0</v>
      </c>
      <c r="I15" s="24" t="str" cm="1">
        <f t="array" ref="I15">IFERROR(INDEX('Budget Planning'!C:C,header_row_id),"")</f>
        <v>Income</v>
      </c>
      <c r="J15" s="24" t="str" cm="1">
        <f t="array" ref="J15">IFERROR(INDEX('Budget Planning'!C:C,row_id),"")</f>
        <v>Side Hustle (Net)</v>
      </c>
      <c r="K15" s="35" cm="1">
        <f t="array" aca="1" ref="K15"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15" s="24" cm="1">
        <f t="array" aca="1" ref="L15" ca="1">IF(OR(is_header,is_empty),"",
INDEX('Budget Planning'!$E:$CI,row_id,
MATCH(IF(selected_period="Total Year",selected_year,DATE(selected_year,selected_period,1)),'Budget Planning'!$E$9:$CI$9,0)))</f>
        <v>0</v>
      </c>
      <c r="M15" s="62" cm="1">
        <f t="array" ref="M15">IF(is_cat,
IF(header_row_id=income_header_row,MATCH(income_min_row,$C:$C,0),
   IF(header_row_id=expenses_header_row,MATCH(expenses_min_row,$C:$C,0),
      IF(header_row_id=savings_header_row,MATCH(savings_min_row,$C:$C,0),""))),"")</f>
        <v>14</v>
      </c>
      <c r="N15" s="24" cm="1">
        <f t="array" ref="N15">IF(is_cat,
IF(header_row_id=income_header_row,MATCH(income_max_row,$C:$C,0),
   IF(header_row_id=expenses_header_row,MATCH(expenses_max_row,$C:$C,0),
      IF(header_row_id=savings_header_row,MATCH(savings_max_row,$C:$C,0),""))),"")</f>
        <v>18</v>
      </c>
      <c r="O15" s="62" t="str">
        <f t="shared" si="2"/>
        <v>$K$14:$K$18</v>
      </c>
      <c r="P15" s="24">
        <f t="shared" ca="1" si="3"/>
        <v>3</v>
      </c>
      <c r="Q15" s="24" t="str">
        <f t="shared" si="4"/>
        <v>$L$14:$L$18</v>
      </c>
      <c r="R15" s="24">
        <f t="shared" ca="1" si="5"/>
        <v>2</v>
      </c>
      <c r="S15" s="62">
        <f t="shared" ca="1" si="6"/>
        <v>32</v>
      </c>
      <c r="T15" s="24" t="str">
        <f t="shared" si="7"/>
        <v>$S$14:$S$18</v>
      </c>
      <c r="U15" s="24">
        <f t="shared" ca="1" si="8"/>
        <v>3</v>
      </c>
      <c r="V15" s="24" t="str">
        <f t="shared" si="9"/>
        <v>$U$14:$U$15</v>
      </c>
      <c r="W15" s="61">
        <f t="shared" ca="1" si="10"/>
        <v>3</v>
      </c>
      <c r="X15" s="67">
        <f t="shared" ca="1" si="11"/>
        <v>12</v>
      </c>
      <c r="Y15" s="68" t="str">
        <f t="shared" ca="1" si="12"/>
        <v>Misc.</v>
      </c>
      <c r="Z15" s="70">
        <f t="shared" ca="1" si="13"/>
        <v>1779.85</v>
      </c>
      <c r="AA15" s="70">
        <f t="shared" ca="1" si="14"/>
        <v>0</v>
      </c>
      <c r="AB15" s="69" t="str">
        <f t="shared" ca="1" si="15"/>
        <v>-</v>
      </c>
      <c r="AC15" s="70">
        <f t="shared" ca="1" si="16"/>
        <v>0</v>
      </c>
      <c r="AD15" s="70">
        <f t="shared" ca="1" si="17"/>
        <v>1779.85</v>
      </c>
    </row>
    <row r="16" spans="1:44" x14ac:dyDescent="0.25">
      <c r="C16" s="57" cm="1">
        <f t="array" ref="C16">IF(C15=-1,-1,
    IF(C15&lt;income_max_row,C15+1,
       IF(C15=income_max_row,income_total_row,
          IF(C15=income_total_row,"/1",
             IF(C15="/1",expenses_header_row,
                IF(C15&lt;expenses_max_row,C15+1,
                   IF(C15=expenses_max_row,expenses_total_row,
                      IF(C15=expenses_total_row,"/2",
                         IF(C15="/2",savings_header_row,
                            IF(C15&lt;savings_max_row,C15+1,
                               IF(C15=savings_max_row,savings_total_row,-1)))))))))))</f>
        <v>12</v>
      </c>
      <c r="D16" s="24">
        <f t="shared" si="0"/>
        <v>9</v>
      </c>
      <c r="E16" s="62" cm="1">
        <f t="array" ref="E16">1*OR(row_id=income_header_row,row_id=expenses_header_row,row_id=savings_header_row)</f>
        <v>0</v>
      </c>
      <c r="F16" s="24">
        <f t="shared" si="18"/>
        <v>1</v>
      </c>
      <c r="G16" s="24" cm="1">
        <f t="array" ref="G16">OR(row_id=income_total_row,row_id=expenses_total_row,row_id=savings_total_row)*1</f>
        <v>0</v>
      </c>
      <c r="H16" s="61">
        <f t="shared" si="1"/>
        <v>0</v>
      </c>
      <c r="I16" s="24" t="str" cm="1">
        <f t="array" ref="I16">IFERROR(INDEX('Budget Planning'!C:C,header_row_id),"")</f>
        <v>Income</v>
      </c>
      <c r="J16" s="24" t="str" cm="1">
        <f t="array" ref="J16">IFERROR(INDEX('Budget Planning'!C:C,row_id),"")</f>
        <v xml:space="preserve">Divedends </v>
      </c>
      <c r="K16" s="35" cm="1">
        <f t="array" aca="1" ref="K16"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16" s="24" cm="1">
        <f t="array" aca="1" ref="L16" ca="1">IF(OR(is_header,is_empty),"",
INDEX('Budget Planning'!$E:$CI,row_id,
MATCH(IF(selected_period="Total Year",selected_year,DATE(selected_year,selected_period,1)),'Budget Planning'!$E$9:$CI$9,0)))</f>
        <v>0</v>
      </c>
      <c r="M16" s="62" cm="1">
        <f t="array" ref="M16">IF(is_cat,
IF(header_row_id=income_header_row,MATCH(income_min_row,$C:$C,0),
   IF(header_row_id=expenses_header_row,MATCH(expenses_min_row,$C:$C,0),
      IF(header_row_id=savings_header_row,MATCH(savings_min_row,$C:$C,0),""))),"")</f>
        <v>14</v>
      </c>
      <c r="N16" s="24" cm="1">
        <f t="array" ref="N16">IF(is_cat,
IF(header_row_id=income_header_row,MATCH(income_max_row,$C:$C,0),
   IF(header_row_id=expenses_header_row,MATCH(expenses_max_row,$C:$C,0),
      IF(header_row_id=savings_header_row,MATCH(savings_max_row,$C:$C,0),""))),"")</f>
        <v>18</v>
      </c>
      <c r="O16" s="62" t="str">
        <f t="shared" si="2"/>
        <v>$K$14:$K$18</v>
      </c>
      <c r="P16" s="24">
        <f t="shared" ca="1" si="3"/>
        <v>3</v>
      </c>
      <c r="Q16" s="24" t="str">
        <f t="shared" si="4"/>
        <v>$L$14:$L$18</v>
      </c>
      <c r="R16" s="24">
        <f t="shared" ca="1" si="5"/>
        <v>2</v>
      </c>
      <c r="S16" s="62">
        <f t="shared" ca="1" si="6"/>
        <v>32</v>
      </c>
      <c r="T16" s="24" t="str">
        <f t="shared" si="7"/>
        <v>$S$14:$S$18</v>
      </c>
      <c r="U16" s="24">
        <f t="shared" ca="1" si="8"/>
        <v>3</v>
      </c>
      <c r="V16" s="24" t="str">
        <f t="shared" si="9"/>
        <v>$U$14:$U$16</v>
      </c>
      <c r="W16" s="61">
        <f t="shared" ca="1" si="10"/>
        <v>4</v>
      </c>
      <c r="X16" s="67">
        <f t="shared" ca="1" si="11"/>
        <v>13</v>
      </c>
      <c r="Y16" s="68" t="str">
        <f t="shared" ca="1" si="12"/>
        <v>Side Hustle (Net)</v>
      </c>
      <c r="Z16" s="70">
        <f t="shared" ca="1" si="13"/>
        <v>0</v>
      </c>
      <c r="AA16" s="70">
        <f t="shared" ca="1" si="14"/>
        <v>0</v>
      </c>
      <c r="AB16" s="69" t="str">
        <f t="shared" ca="1" si="15"/>
        <v>-</v>
      </c>
      <c r="AC16" s="70">
        <f t="shared" ca="1" si="16"/>
        <v>0</v>
      </c>
      <c r="AD16" s="70">
        <f t="shared" ca="1" si="17"/>
        <v>0</v>
      </c>
    </row>
    <row r="17" spans="3:30" x14ac:dyDescent="0.25">
      <c r="C17" s="57" cm="1">
        <f t="array" ref="C17">IF(C16=-1,-1,
    IF(C16&lt;income_max_row,C16+1,
       IF(C16=income_max_row,income_total_row,
          IF(C16=income_total_row,"/1",
             IF(C16="/1",expenses_header_row,
                IF(C16&lt;expenses_max_row,C16+1,
                   IF(C16=expenses_max_row,expenses_total_row,
                      IF(C16=expenses_total_row,"/2",
                         IF(C16="/2",savings_header_row,
                            IF(C16&lt;savings_max_row,C16+1,
                               IF(C16=savings_max_row,savings_total_row,-1)))))))))))</f>
        <v>13</v>
      </c>
      <c r="D17" s="24">
        <f t="shared" si="0"/>
        <v>9</v>
      </c>
      <c r="E17" s="62" cm="1">
        <f t="array" ref="E17">1*OR(row_id=income_header_row,row_id=expenses_header_row,row_id=savings_header_row)</f>
        <v>0</v>
      </c>
      <c r="F17" s="24">
        <f t="shared" si="18"/>
        <v>1</v>
      </c>
      <c r="G17" s="24" cm="1">
        <f t="array" ref="G17">OR(row_id=income_total_row,row_id=expenses_total_row,row_id=savings_total_row)*1</f>
        <v>0</v>
      </c>
      <c r="H17" s="61">
        <f t="shared" si="1"/>
        <v>0</v>
      </c>
      <c r="I17" s="24" t="str" cm="1">
        <f t="array" ref="I17">IFERROR(INDEX('Budget Planning'!C:C,header_row_id),"")</f>
        <v>Income</v>
      </c>
      <c r="J17" s="24" t="str" cm="1">
        <f t="array" ref="J17">IFERROR(INDEX('Budget Planning'!C:C,row_id),"")</f>
        <v>Rollover</v>
      </c>
      <c r="K17" s="35" cm="1">
        <f t="array" aca="1" ref="K17"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17" s="24" cm="1">
        <f t="array" aca="1" ref="L17" ca="1">IF(OR(is_header,is_empty),"",
INDEX('Budget Planning'!$E:$CI,row_id,
MATCH(IF(selected_period="Total Year",selected_year,DATE(selected_year,selected_period,1)),'Budget Planning'!$E$9:$CI$9,0)))</f>
        <v>0</v>
      </c>
      <c r="M17" s="62" cm="1">
        <f t="array" ref="M17">IF(is_cat,
IF(header_row_id=income_header_row,MATCH(income_min_row,$C:$C,0),
   IF(header_row_id=expenses_header_row,MATCH(expenses_min_row,$C:$C,0),
      IF(header_row_id=savings_header_row,MATCH(savings_min_row,$C:$C,0),""))),"")</f>
        <v>14</v>
      </c>
      <c r="N17" s="24" cm="1">
        <f t="array" ref="N17">IF(is_cat,
IF(header_row_id=income_header_row,MATCH(income_max_row,$C:$C,0),
   IF(header_row_id=expenses_header_row,MATCH(expenses_max_row,$C:$C,0),
      IF(header_row_id=savings_header_row,MATCH(savings_max_row,$C:$C,0),""))),"")</f>
        <v>18</v>
      </c>
      <c r="O17" s="62" t="str">
        <f t="shared" si="2"/>
        <v>$K$14:$K$18</v>
      </c>
      <c r="P17" s="24">
        <f t="shared" ca="1" si="3"/>
        <v>3</v>
      </c>
      <c r="Q17" s="24" t="str">
        <f t="shared" si="4"/>
        <v>$L$14:$L$18</v>
      </c>
      <c r="R17" s="24">
        <f t="shared" ca="1" si="5"/>
        <v>2</v>
      </c>
      <c r="S17" s="62">
        <f t="shared" ca="1" si="6"/>
        <v>32</v>
      </c>
      <c r="T17" s="24" t="str">
        <f t="shared" si="7"/>
        <v>$S$14:$S$18</v>
      </c>
      <c r="U17" s="24">
        <f t="shared" ca="1" si="8"/>
        <v>3</v>
      </c>
      <c r="V17" s="24" t="str">
        <f t="shared" si="9"/>
        <v>$U$14:$U$17</v>
      </c>
      <c r="W17" s="61">
        <f t="shared" ca="1" si="10"/>
        <v>5</v>
      </c>
      <c r="X17" s="67">
        <f t="shared" ca="1" si="11"/>
        <v>14</v>
      </c>
      <c r="Y17" s="68" t="str">
        <f t="shared" ca="1" si="12"/>
        <v xml:space="preserve">Divedends </v>
      </c>
      <c r="Z17" s="70">
        <f t="shared" ca="1" si="13"/>
        <v>0</v>
      </c>
      <c r="AA17" s="70">
        <f t="shared" ca="1" si="14"/>
        <v>0</v>
      </c>
      <c r="AB17" s="69" t="str">
        <f t="shared" ca="1" si="15"/>
        <v>-</v>
      </c>
      <c r="AC17" s="70">
        <f t="shared" ca="1" si="16"/>
        <v>0</v>
      </c>
      <c r="AD17" s="70">
        <f t="shared" ca="1" si="17"/>
        <v>0</v>
      </c>
    </row>
    <row r="18" spans="3:30" x14ac:dyDescent="0.25">
      <c r="C18" s="57" cm="1">
        <f t="array" ref="C18">IF(C17=-1,-1,
    IF(C17&lt;income_max_row,C17+1,
       IF(C17=income_max_row,income_total_row,
          IF(C17=income_total_row,"/1",
             IF(C17="/1",expenses_header_row,
                IF(C17&lt;expenses_max_row,C17+1,
                   IF(C17=expenses_max_row,expenses_total_row,
                      IF(C17=expenses_total_row,"/2",
                         IF(C17="/2",savings_header_row,
                            IF(C17&lt;savings_max_row,C17+1,
                               IF(C17=savings_max_row,savings_total_row,-1)))))))))))</f>
        <v>14</v>
      </c>
      <c r="D18" s="24">
        <f t="shared" si="0"/>
        <v>9</v>
      </c>
      <c r="E18" s="62" cm="1">
        <f t="array" ref="E18">1*OR(row_id=income_header_row,row_id=expenses_header_row,row_id=savings_header_row)</f>
        <v>0</v>
      </c>
      <c r="F18" s="24">
        <f t="shared" si="18"/>
        <v>1</v>
      </c>
      <c r="G18" s="24" cm="1">
        <f t="array" ref="G18">OR(row_id=income_total_row,row_id=expenses_total_row,row_id=savings_total_row)*1</f>
        <v>0</v>
      </c>
      <c r="H18" s="61">
        <f t="shared" si="1"/>
        <v>0</v>
      </c>
      <c r="I18" s="24" t="str" cm="1">
        <f t="array" ref="I18">IFERROR(INDEX('Budget Planning'!C:C,header_row_id),"")</f>
        <v>Income</v>
      </c>
      <c r="J18" s="24" t="str" cm="1">
        <f t="array" ref="J18">IFERROR(INDEX('Budget Planning'!C:C,row_id),"")</f>
        <v>Misc.</v>
      </c>
      <c r="K18" s="35" cm="1">
        <f t="array" aca="1" ref="K18"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1779.85</v>
      </c>
      <c r="L18" s="24" cm="1">
        <f t="array" aca="1" ref="L18" ca="1">IF(OR(is_header,is_empty),"",
INDEX('Budget Planning'!$E:$CI,row_id,
MATCH(IF(selected_period="Total Year",selected_year,DATE(selected_year,selected_period,1)),'Budget Planning'!$E$9:$CI$9,0)))</f>
        <v>0</v>
      </c>
      <c r="M18" s="62" cm="1">
        <f t="array" ref="M18">IF(is_cat,
IF(header_row_id=income_header_row,MATCH(income_min_row,$C:$C,0),
   IF(header_row_id=expenses_header_row,MATCH(expenses_min_row,$C:$C,0),
      IF(header_row_id=savings_header_row,MATCH(savings_min_row,$C:$C,0),""))),"")</f>
        <v>14</v>
      </c>
      <c r="N18" s="24" cm="1">
        <f t="array" ref="N18">IF(is_cat,
IF(header_row_id=income_header_row,MATCH(income_max_row,$C:$C,0),
   IF(header_row_id=expenses_header_row,MATCH(expenses_max_row,$C:$C,0),
      IF(header_row_id=savings_header_row,MATCH(savings_max_row,$C:$C,0),""))),"")</f>
        <v>18</v>
      </c>
      <c r="O18" s="62" t="str">
        <f t="shared" si="2"/>
        <v>$K$14:$K$18</v>
      </c>
      <c r="P18" s="24">
        <f t="shared" ca="1" si="3"/>
        <v>2</v>
      </c>
      <c r="Q18" s="24" t="str">
        <f t="shared" si="4"/>
        <v>$L$14:$L$18</v>
      </c>
      <c r="R18" s="24">
        <f t="shared" ca="1" si="5"/>
        <v>2</v>
      </c>
      <c r="S18" s="62">
        <f t="shared" ca="1" si="6"/>
        <v>22</v>
      </c>
      <c r="T18" s="24" t="str">
        <f t="shared" si="7"/>
        <v>$S$14:$S$18</v>
      </c>
      <c r="U18" s="24">
        <f t="shared" ca="1" si="8"/>
        <v>2</v>
      </c>
      <c r="V18" s="24" t="str">
        <f t="shared" si="9"/>
        <v>$U$14:$U$18</v>
      </c>
      <c r="W18" s="61">
        <f t="shared" ca="1" si="10"/>
        <v>2</v>
      </c>
      <c r="X18" s="67">
        <f t="shared" ca="1" si="11"/>
        <v>11</v>
      </c>
      <c r="Y18" s="68" t="str">
        <f t="shared" ca="1" si="12"/>
        <v>Rollover</v>
      </c>
      <c r="Z18" s="70">
        <f t="shared" ca="1" si="13"/>
        <v>0</v>
      </c>
      <c r="AA18" s="70">
        <f t="shared" ca="1" si="14"/>
        <v>0</v>
      </c>
      <c r="AB18" s="69" t="str">
        <f t="shared" ca="1" si="15"/>
        <v>-</v>
      </c>
      <c r="AC18" s="70">
        <f t="shared" ca="1" si="16"/>
        <v>0</v>
      </c>
      <c r="AD18" s="70">
        <f t="shared" ca="1" si="17"/>
        <v>0</v>
      </c>
    </row>
    <row r="19" spans="3:30" x14ac:dyDescent="0.25">
      <c r="C19" s="57" cm="1">
        <f t="array" ref="C19">IF(C18=-1,-1,
    IF(C18&lt;income_max_row,C18+1,
       IF(C18=income_max_row,income_total_row,
          IF(C18=income_total_row,"/1",
             IF(C18="/1",expenses_header_row,
                IF(C18&lt;expenses_max_row,C18+1,
                   IF(C18=expenses_max_row,expenses_total_row,
                      IF(C18=expenses_total_row,"/2",
                         IF(C18="/2",savings_header_row,
                            IF(C18&lt;savings_max_row,C18+1,
                               IF(C18=savings_max_row,savings_total_row,-1)))))))))))</f>
        <v>21</v>
      </c>
      <c r="D19" s="24">
        <f t="shared" si="0"/>
        <v>9</v>
      </c>
      <c r="E19" s="62" cm="1">
        <f t="array" ref="E19">1*OR(row_id=income_header_row,row_id=expenses_header_row,row_id=savings_header_row)</f>
        <v>0</v>
      </c>
      <c r="F19" s="24">
        <f t="shared" si="18"/>
        <v>0</v>
      </c>
      <c r="G19" s="24" cm="1">
        <f t="array" ref="G19">OR(row_id=income_total_row,row_id=expenses_total_row,row_id=savings_total_row)*1</f>
        <v>1</v>
      </c>
      <c r="H19" s="61">
        <f t="shared" si="1"/>
        <v>0</v>
      </c>
      <c r="I19" s="24" t="str" cm="1">
        <f t="array" ref="I19">IFERROR(INDEX('Budget Planning'!C:C,header_row_id),"")</f>
        <v>Income</v>
      </c>
      <c r="J19" s="24" t="str" cm="1">
        <f t="array" ref="J19">IFERROR(INDEX('Budget Planning'!C:C,row_id),"")</f>
        <v xml:space="preserve">Total </v>
      </c>
      <c r="K19" s="35" cm="1">
        <f t="array" aca="1" ref="K19"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6926.74</v>
      </c>
      <c r="L19" s="24" cm="1">
        <f t="array" aca="1" ref="L19" ca="1">IF(OR(is_header,is_empty),"",
INDEX('Budget Planning'!$E:$CI,row_id,
MATCH(IF(selected_period="Total Year",selected_year,DATE(selected_year,selected_period,1)),'Budget Planning'!$E$9:$CI$9,0)))</f>
        <v>5083.34</v>
      </c>
      <c r="M19" s="62" t="str" cm="1">
        <f t="array" ref="M19">IF(is_cat,
IF(header_row_id=income_header_row,MATCH(income_min_row,$C:$C,0),
   IF(header_row_id=expenses_header_row,MATCH(expenses_min_row,$C:$C,0),
      IF(header_row_id=savings_header_row,MATCH(savings_min_row,$C:$C,0),""))),"")</f>
        <v/>
      </c>
      <c r="N19" s="24" t="str" cm="1">
        <f t="array" ref="N19">IF(is_cat,
IF(header_row_id=income_header_row,MATCH(income_max_row,$C:$C,0),
   IF(header_row_id=expenses_header_row,MATCH(expenses_max_row,$C:$C,0),
      IF(header_row_id=savings_header_row,MATCH(savings_max_row,$C:$C,0),""))),"")</f>
        <v/>
      </c>
      <c r="O19" s="62" t="str">
        <f t="shared" si="2"/>
        <v/>
      </c>
      <c r="P19" s="24" t="str">
        <f t="shared" ca="1" si="3"/>
        <v/>
      </c>
      <c r="Q19" s="24" t="str">
        <f t="shared" si="4"/>
        <v/>
      </c>
      <c r="R19" s="24" t="str">
        <f t="shared" ca="1" si="5"/>
        <v/>
      </c>
      <c r="S19" s="62" t="str">
        <f t="shared" si="6"/>
        <v/>
      </c>
      <c r="T19" s="24" t="str">
        <f t="shared" si="7"/>
        <v/>
      </c>
      <c r="U19" s="24" t="str">
        <f t="shared" ca="1" si="8"/>
        <v/>
      </c>
      <c r="V19" s="24" t="str">
        <f t="shared" si="9"/>
        <v/>
      </c>
      <c r="W19" s="61" t="str">
        <f t="shared" ca="1" si="10"/>
        <v/>
      </c>
      <c r="X19" s="67">
        <f t="shared" si="11"/>
        <v>21</v>
      </c>
      <c r="Y19" s="68" t="str">
        <f t="shared" ca="1" si="12"/>
        <v xml:space="preserve">Total </v>
      </c>
      <c r="Z19" s="70">
        <f t="shared" ca="1" si="13"/>
        <v>6926.74</v>
      </c>
      <c r="AA19" s="70">
        <f t="shared" ca="1" si="14"/>
        <v>5083.34</v>
      </c>
      <c r="AB19" s="69">
        <f t="shared" ca="1" si="15"/>
        <v>1.3626355899861113</v>
      </c>
      <c r="AC19" s="70">
        <f t="shared" ca="1" si="16"/>
        <v>0</v>
      </c>
      <c r="AD19" s="70">
        <f t="shared" ca="1" si="17"/>
        <v>1843.3999999999996</v>
      </c>
    </row>
    <row r="20" spans="3:30" x14ac:dyDescent="0.25">
      <c r="C20" s="57" t="str" cm="1">
        <f t="array" ref="C20">IF(C19=-1,-1,
    IF(C19&lt;income_max_row,C19+1,
       IF(C19=income_max_row,income_total_row,
          IF(C19=income_total_row,"/1",
             IF(C19="/1",expenses_header_row,
                IF(C19&lt;expenses_max_row,C19+1,
                   IF(C19=expenses_max_row,expenses_total_row,
                      IF(C19=expenses_total_row,"/2",
                         IF(C19="/2",savings_header_row,
                            IF(C19&lt;savings_max_row,C19+1,
                               IF(C19=savings_max_row,savings_total_row,-1)))))))))))</f>
        <v>/1</v>
      </c>
      <c r="D20" s="24">
        <f t="shared" si="0"/>
        <v>-1</v>
      </c>
      <c r="E20" s="62" cm="1">
        <f t="array" ref="E20">1*OR(row_id=income_header_row,row_id=expenses_header_row,row_id=savings_header_row)</f>
        <v>0</v>
      </c>
      <c r="F20" s="24">
        <f t="shared" si="18"/>
        <v>0</v>
      </c>
      <c r="G20" s="24" cm="1">
        <f t="array" ref="G20">OR(row_id=income_total_row,row_id=expenses_total_row,row_id=savings_total_row)*1</f>
        <v>0</v>
      </c>
      <c r="H20" s="61">
        <f t="shared" si="1"/>
        <v>1</v>
      </c>
      <c r="I20" s="24" t="str" cm="1">
        <f t="array" ref="I20">IFERROR(INDEX('Budget Planning'!C:C,header_row_id),"")</f>
        <v/>
      </c>
      <c r="J20" s="24" t="str" cm="1">
        <f t="array" ref="J20">IFERROR(INDEX('Budget Planning'!C:C,row_id),"")</f>
        <v/>
      </c>
      <c r="K20" s="35" t="str" cm="1">
        <f t="array" ref="K20">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20" s="24" t="str" cm="1">
        <f t="array" ref="L20">IF(OR(is_header,is_empty),"",
INDEX('Budget Planning'!$E:$CI,row_id,
MATCH(IF(selected_period="Total Year",selected_year,DATE(selected_year,selected_period,1)),'Budget Planning'!$E$9:$CI$9,0)))</f>
        <v/>
      </c>
      <c r="M20" s="62" t="str" cm="1">
        <f t="array" ref="M20">IF(is_cat,
IF(header_row_id=income_header_row,MATCH(income_min_row,$C:$C,0),
   IF(header_row_id=expenses_header_row,MATCH(expenses_min_row,$C:$C,0),
      IF(header_row_id=savings_header_row,MATCH(savings_min_row,$C:$C,0),""))),"")</f>
        <v/>
      </c>
      <c r="N20" s="24" t="str" cm="1">
        <f t="array" ref="N20">IF(is_cat,
IF(header_row_id=income_header_row,MATCH(income_max_row,$C:$C,0),
   IF(header_row_id=expenses_header_row,MATCH(expenses_max_row,$C:$C,0),
      IF(header_row_id=savings_header_row,MATCH(savings_max_row,$C:$C,0),""))),"")</f>
        <v/>
      </c>
      <c r="O20" s="62" t="str">
        <f t="shared" si="2"/>
        <v/>
      </c>
      <c r="P20" s="24" t="str">
        <f t="shared" ca="1" si="3"/>
        <v/>
      </c>
      <c r="Q20" s="24" t="str">
        <f t="shared" si="4"/>
        <v/>
      </c>
      <c r="R20" s="24" t="str">
        <f t="shared" ca="1" si="5"/>
        <v/>
      </c>
      <c r="S20" s="62" t="str">
        <f t="shared" si="6"/>
        <v/>
      </c>
      <c r="T20" s="24" t="str">
        <f t="shared" si="7"/>
        <v/>
      </c>
      <c r="U20" s="24" t="str">
        <f t="shared" ca="1" si="8"/>
        <v/>
      </c>
      <c r="V20" s="24" t="str">
        <f t="shared" si="9"/>
        <v/>
      </c>
      <c r="W20" s="61" t="str">
        <f t="shared" ca="1" si="10"/>
        <v/>
      </c>
      <c r="X20" s="67" t="str">
        <f t="shared" si="11"/>
        <v>/1</v>
      </c>
      <c r="Y20" s="68" t="str">
        <f t="shared" si="12"/>
        <v/>
      </c>
      <c r="Z20" s="70" t="str">
        <f t="shared" si="13"/>
        <v/>
      </c>
      <c r="AA20" s="70" t="str">
        <f t="shared" si="14"/>
        <v/>
      </c>
      <c r="AB20" s="69" t="str">
        <f t="shared" si="15"/>
        <v/>
      </c>
      <c r="AC20" s="70" t="str">
        <f t="shared" si="16"/>
        <v/>
      </c>
      <c r="AD20" s="70" t="str">
        <f t="shared" si="17"/>
        <v/>
      </c>
    </row>
    <row r="21" spans="3:30" x14ac:dyDescent="0.25">
      <c r="C21" s="57" cm="1">
        <f t="array" ref="C21">IF(C20=-1,-1,
    IF(C20&lt;income_max_row,C20+1,
       IF(C20=income_max_row,income_total_row,
          IF(C20=income_total_row,"/1",
             IF(C20="/1",expenses_header_row,
                IF(C20&lt;expenses_max_row,C20+1,
                   IF(C20=expenses_max_row,expenses_total_row,
                      IF(C20=expenses_total_row,"/2",
                         IF(C20="/2",savings_header_row,
                            IF(C20&lt;savings_max_row,C20+1,
                               IF(C20=savings_max_row,savings_total_row,-1)))))))))))</f>
        <v>23</v>
      </c>
      <c r="D21" s="24">
        <f t="shared" si="0"/>
        <v>23</v>
      </c>
      <c r="E21" s="62" cm="1">
        <f t="array" ref="E21">1*OR(row_id=income_header_row,row_id=expenses_header_row,row_id=savings_header_row)</f>
        <v>1</v>
      </c>
      <c r="F21" s="24">
        <f t="shared" si="18"/>
        <v>0</v>
      </c>
      <c r="G21" s="24" cm="1">
        <f t="array" ref="G21">OR(row_id=income_total_row,row_id=expenses_total_row,row_id=savings_total_row)*1</f>
        <v>0</v>
      </c>
      <c r="H21" s="61">
        <f t="shared" si="1"/>
        <v>0</v>
      </c>
      <c r="I21" s="24" t="str" cm="1">
        <f t="array" ref="I21">IFERROR(INDEX('Budget Planning'!C:C,header_row_id),"")</f>
        <v>Expenses</v>
      </c>
      <c r="J21" s="24" t="str" cm="1">
        <f t="array" ref="J21">IFERROR(INDEX('Budget Planning'!C:C,row_id),"")</f>
        <v>Expenses</v>
      </c>
      <c r="K21" s="35" t="str" cm="1">
        <f t="array" ref="K2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21" s="24" t="str" cm="1">
        <f t="array" ref="L21">IF(OR(is_header,is_empty),"",
INDEX('Budget Planning'!$E:$CI,row_id,
MATCH(IF(selected_period="Total Year",selected_year,DATE(selected_year,selected_period,1)),'Budget Planning'!$E$9:$CI$9,0)))</f>
        <v/>
      </c>
      <c r="M21" s="62" t="str" cm="1">
        <f t="array" ref="M21">IF(is_cat,
IF(header_row_id=income_header_row,MATCH(income_min_row,$C:$C,0),
   IF(header_row_id=expenses_header_row,MATCH(expenses_min_row,$C:$C,0),
      IF(header_row_id=savings_header_row,MATCH(savings_min_row,$C:$C,0),""))),"")</f>
        <v/>
      </c>
      <c r="N21" s="24" t="str" cm="1">
        <f t="array" ref="N21">IF(is_cat,
IF(header_row_id=income_header_row,MATCH(income_max_row,$C:$C,0),
   IF(header_row_id=expenses_header_row,MATCH(expenses_max_row,$C:$C,0),
      IF(header_row_id=savings_header_row,MATCH(savings_max_row,$C:$C,0),""))),"")</f>
        <v/>
      </c>
      <c r="O21" s="62" t="str">
        <f t="shared" si="2"/>
        <v/>
      </c>
      <c r="P21" s="24" t="str">
        <f t="shared" ca="1" si="3"/>
        <v/>
      </c>
      <c r="Q21" s="24" t="str">
        <f t="shared" si="4"/>
        <v/>
      </c>
      <c r="R21" s="24" t="str">
        <f t="shared" ca="1" si="5"/>
        <v/>
      </c>
      <c r="S21" s="62" t="str">
        <f t="shared" si="6"/>
        <v/>
      </c>
      <c r="T21" s="24" t="str">
        <f t="shared" si="7"/>
        <v/>
      </c>
      <c r="U21" s="24" t="str">
        <f t="shared" ca="1" si="8"/>
        <v/>
      </c>
      <c r="V21" s="24" t="str">
        <f t="shared" si="9"/>
        <v/>
      </c>
      <c r="W21" s="61" t="str">
        <f t="shared" ca="1" si="10"/>
        <v/>
      </c>
      <c r="X21" s="67">
        <f t="shared" si="11"/>
        <v>23</v>
      </c>
      <c r="Y21" s="68" t="str">
        <f t="shared" ca="1" si="12"/>
        <v>Expenses</v>
      </c>
      <c r="Z21" s="70" t="str">
        <f t="shared" si="13"/>
        <v>Tracked</v>
      </c>
      <c r="AA21" s="70" t="str">
        <f t="shared" si="14"/>
        <v>Budget</v>
      </c>
      <c r="AB21" s="69" t="str">
        <f t="shared" si="15"/>
        <v>% Compl</v>
      </c>
      <c r="AC21" s="70" t="str">
        <f t="shared" si="16"/>
        <v>Remaining</v>
      </c>
      <c r="AD21" s="70" t="str">
        <f t="shared" si="17"/>
        <v>Excess</v>
      </c>
    </row>
    <row r="22" spans="3:30" x14ac:dyDescent="0.25">
      <c r="C22" s="57" cm="1">
        <f t="array" ref="C22">IF(C21=-1,-1,
    IF(C21&lt;income_max_row,C21+1,
       IF(C21=income_max_row,income_total_row,
          IF(C21=income_total_row,"/1",
             IF(C21="/1",expenses_header_row,
                IF(C21&lt;expenses_max_row,C21+1,
                   IF(C21=expenses_max_row,expenses_total_row,
                      IF(C21=expenses_total_row,"/2",
                         IF(C21="/2",savings_header_row,
                            IF(C21&lt;savings_max_row,C21+1,
                               IF(C21=savings_max_row,savings_total_row,-1)))))))))))</f>
        <v>24</v>
      </c>
      <c r="D22" s="24">
        <f t="shared" si="0"/>
        <v>23</v>
      </c>
      <c r="E22" s="62" cm="1">
        <f t="array" ref="E22">1*OR(row_id=income_header_row,row_id=expenses_header_row,row_id=savings_header_row)</f>
        <v>0</v>
      </c>
      <c r="F22" s="24">
        <f t="shared" si="18"/>
        <v>1</v>
      </c>
      <c r="G22" s="24" cm="1">
        <f t="array" ref="G22">OR(row_id=income_total_row,row_id=expenses_total_row,row_id=savings_total_row)*1</f>
        <v>0</v>
      </c>
      <c r="H22" s="61">
        <f t="shared" si="1"/>
        <v>0</v>
      </c>
      <c r="I22" s="24" t="str" cm="1">
        <f t="array" ref="I22">IFERROR(INDEX('Budget Planning'!C:C,header_row_id),"")</f>
        <v>Expenses</v>
      </c>
      <c r="J22" s="24" t="str" cm="1">
        <f t="array" ref="J22">IFERROR(INDEX('Budget Planning'!C:C,row_id),"")</f>
        <v>Housing</v>
      </c>
      <c r="K22" s="35" cm="1">
        <f t="array" aca="1" ref="K22"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1280</v>
      </c>
      <c r="L22" s="24" cm="1">
        <f t="array" aca="1" ref="L22" ca="1">IF(OR(is_header,is_empty),"",
INDEX('Budget Planning'!$E:$CI,row_id,
MATCH(IF(selected_period="Total Year",selected_year,DATE(selected_year,selected_period,1)),'Budget Planning'!$E$9:$CI$9,0)))</f>
        <v>1280</v>
      </c>
      <c r="M22" s="62" cm="1">
        <f t="array" ref="M22">IF(is_cat,
IF(header_row_id=income_header_row,MATCH(income_min_row,$C:$C,0),
   IF(header_row_id=expenses_header_row,MATCH(expenses_min_row,$C:$C,0),
      IF(header_row_id=savings_header_row,MATCH(savings_min_row,$C:$C,0),""))),"")</f>
        <v>22</v>
      </c>
      <c r="N22" s="24" cm="1">
        <f t="array" ref="N22">IF(is_cat,
IF(header_row_id=income_header_row,MATCH(income_max_row,$C:$C,0),
   IF(header_row_id=expenses_header_row,MATCH(expenses_max_row,$C:$C,0),
      IF(header_row_id=savings_header_row,MATCH(savings_max_row,$C:$C,0),""))),"")</f>
        <v>39</v>
      </c>
      <c r="O22" s="62" t="str">
        <f t="shared" si="2"/>
        <v>$K$22:$K$39</v>
      </c>
      <c r="P22" s="24">
        <f t="shared" ca="1" si="3"/>
        <v>1</v>
      </c>
      <c r="Q22" s="24" t="str">
        <f t="shared" si="4"/>
        <v>$L$22:$L$39</v>
      </c>
      <c r="R22" s="24">
        <f t="shared" ca="1" si="5"/>
        <v>1</v>
      </c>
      <c r="S22" s="62">
        <f t="shared" ca="1" si="6"/>
        <v>11</v>
      </c>
      <c r="T22" s="24" t="str">
        <f t="shared" si="7"/>
        <v>$S$22:$S$39</v>
      </c>
      <c r="U22" s="24">
        <f t="shared" ca="1" si="8"/>
        <v>1</v>
      </c>
      <c r="V22" s="24" t="str">
        <f t="shared" si="9"/>
        <v>$U$22:$U$22</v>
      </c>
      <c r="W22" s="61">
        <f t="shared" ca="1" si="10"/>
        <v>1</v>
      </c>
      <c r="X22" s="67">
        <f t="shared" ca="1" si="11"/>
        <v>24</v>
      </c>
      <c r="Y22" s="68" t="str">
        <f t="shared" ca="1" si="12"/>
        <v>Housing</v>
      </c>
      <c r="Z22" s="70">
        <f t="shared" ca="1" si="13"/>
        <v>1280</v>
      </c>
      <c r="AA22" s="70">
        <f t="shared" ca="1" si="14"/>
        <v>1280</v>
      </c>
      <c r="AB22" s="69">
        <f t="shared" ca="1" si="15"/>
        <v>1</v>
      </c>
      <c r="AC22" s="70">
        <f t="shared" ca="1" si="16"/>
        <v>0</v>
      </c>
      <c r="AD22" s="70">
        <f t="shared" ca="1" si="17"/>
        <v>0</v>
      </c>
    </row>
    <row r="23" spans="3:30" x14ac:dyDescent="0.25">
      <c r="C23" s="57" cm="1">
        <f t="array" ref="C23">IF(C22=-1,-1,
    IF(C22&lt;income_max_row,C22+1,
       IF(C22=income_max_row,income_total_row,
          IF(C22=income_total_row,"/1",
             IF(C22="/1",expenses_header_row,
                IF(C22&lt;expenses_max_row,C22+1,
                   IF(C22=expenses_max_row,expenses_total_row,
                      IF(C22=expenses_total_row,"/2",
                         IF(C22="/2",savings_header_row,
                            IF(C22&lt;savings_max_row,C22+1,
                               IF(C22=savings_max_row,savings_total_row,-1)))))))))))</f>
        <v>25</v>
      </c>
      <c r="D23" s="24">
        <f t="shared" si="0"/>
        <v>23</v>
      </c>
      <c r="E23" s="62" cm="1">
        <f t="array" ref="E23">1*OR(row_id=income_header_row,row_id=expenses_header_row,row_id=savings_header_row)</f>
        <v>0</v>
      </c>
      <c r="F23" s="24">
        <f t="shared" si="18"/>
        <v>1</v>
      </c>
      <c r="G23" s="24" cm="1">
        <f t="array" ref="G23">OR(row_id=income_total_row,row_id=expenses_total_row,row_id=savings_total_row)*1</f>
        <v>0</v>
      </c>
      <c r="H23" s="61">
        <f t="shared" si="1"/>
        <v>0</v>
      </c>
      <c r="I23" s="24" t="str" cm="1">
        <f t="array" ref="I23">IFERROR(INDEX('Budget Planning'!C:C,header_row_id),"")</f>
        <v>Expenses</v>
      </c>
      <c r="J23" s="24" t="str" cm="1">
        <f t="array" ref="J23">IFERROR(INDEX('Budget Planning'!C:C,row_id),"")</f>
        <v>Taxes</v>
      </c>
      <c r="K23" s="35" cm="1">
        <f t="array" aca="1" ref="K23"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813.59</v>
      </c>
      <c r="L23" s="24" cm="1">
        <f t="array" aca="1" ref="L23" ca="1">IF(OR(is_header,is_empty),"",
INDEX('Budget Planning'!$E:$CI,row_id,
MATCH(IF(selected_period="Total Year",selected_year,DATE(selected_year,selected_period,1)),'Budget Planning'!$E$9:$CI$9,0)))</f>
        <v>796</v>
      </c>
      <c r="M23" s="62" cm="1">
        <f t="array" ref="M23">IF(is_cat,
IF(header_row_id=income_header_row,MATCH(income_min_row,$C:$C,0),
   IF(header_row_id=expenses_header_row,MATCH(expenses_min_row,$C:$C,0),
      IF(header_row_id=savings_header_row,MATCH(savings_min_row,$C:$C,0),""))),"")</f>
        <v>22</v>
      </c>
      <c r="N23" s="24" cm="1">
        <f t="array" ref="N23">IF(is_cat,
IF(header_row_id=income_header_row,MATCH(income_max_row,$C:$C,0),
   IF(header_row_id=expenses_header_row,MATCH(expenses_max_row,$C:$C,0),
      IF(header_row_id=savings_header_row,MATCH(savings_max_row,$C:$C,0),""))),"")</f>
        <v>39</v>
      </c>
      <c r="O23" s="62" t="str">
        <f t="shared" si="2"/>
        <v>$K$22:$K$39</v>
      </c>
      <c r="P23" s="24">
        <f t="shared" ca="1" si="3"/>
        <v>2</v>
      </c>
      <c r="Q23" s="24" t="str">
        <f t="shared" si="4"/>
        <v>$L$22:$L$39</v>
      </c>
      <c r="R23" s="24">
        <f t="shared" ca="1" si="5"/>
        <v>2</v>
      </c>
      <c r="S23" s="62">
        <f t="shared" ca="1" si="6"/>
        <v>22</v>
      </c>
      <c r="T23" s="24" t="str">
        <f t="shared" si="7"/>
        <v>$S$22:$S$39</v>
      </c>
      <c r="U23" s="24">
        <f t="shared" ca="1" si="8"/>
        <v>2</v>
      </c>
      <c r="V23" s="24" t="str">
        <f t="shared" si="9"/>
        <v>$U$22:$U$23</v>
      </c>
      <c r="W23" s="61">
        <f t="shared" ca="1" si="10"/>
        <v>2</v>
      </c>
      <c r="X23" s="67">
        <f t="shared" ca="1" si="11"/>
        <v>25</v>
      </c>
      <c r="Y23" s="68" t="str">
        <f t="shared" ca="1" si="12"/>
        <v>Taxes</v>
      </c>
      <c r="Z23" s="70">
        <f t="shared" ca="1" si="13"/>
        <v>813.59</v>
      </c>
      <c r="AA23" s="70">
        <f t="shared" ca="1" si="14"/>
        <v>796</v>
      </c>
      <c r="AB23" s="69">
        <f t="shared" ca="1" si="15"/>
        <v>1.0220979899497489</v>
      </c>
      <c r="AC23" s="70">
        <f t="shared" ca="1" si="16"/>
        <v>0</v>
      </c>
      <c r="AD23" s="70">
        <f t="shared" ca="1" si="17"/>
        <v>17.590000000000032</v>
      </c>
    </row>
    <row r="24" spans="3:30" x14ac:dyDescent="0.25">
      <c r="C24" s="57" cm="1">
        <f t="array" ref="C24">IF(C23=-1,-1,
    IF(C23&lt;income_max_row,C23+1,
       IF(C23=income_max_row,income_total_row,
          IF(C23=income_total_row,"/1",
             IF(C23="/1",expenses_header_row,
                IF(C23&lt;expenses_max_row,C23+1,
                   IF(C23=expenses_max_row,expenses_total_row,
                      IF(C23=expenses_total_row,"/2",
                         IF(C23="/2",savings_header_row,
                            IF(C23&lt;savings_max_row,C23+1,
                               IF(C23=savings_max_row,savings_total_row,-1)))))))))))</f>
        <v>26</v>
      </c>
      <c r="D24" s="24">
        <f t="shared" si="0"/>
        <v>23</v>
      </c>
      <c r="E24" s="62" cm="1">
        <f t="array" ref="E24">1*OR(row_id=income_header_row,row_id=expenses_header_row,row_id=savings_header_row)</f>
        <v>0</v>
      </c>
      <c r="F24" s="24">
        <f t="shared" si="18"/>
        <v>1</v>
      </c>
      <c r="G24" s="24" cm="1">
        <f t="array" ref="G24">OR(row_id=income_total_row,row_id=expenses_total_row,row_id=savings_total_row)*1</f>
        <v>0</v>
      </c>
      <c r="H24" s="61">
        <f t="shared" si="1"/>
        <v>0</v>
      </c>
      <c r="I24" s="24" t="str" cm="1">
        <f t="array" ref="I24">IFERROR(INDEX('Budget Planning'!C:C,header_row_id),"")</f>
        <v>Expenses</v>
      </c>
      <c r="J24" s="24" t="str" cm="1">
        <f t="array" ref="J24">IFERROR(INDEX('Budget Planning'!C:C,row_id),"")</f>
        <v>Benifits</v>
      </c>
      <c r="K24" s="35" cm="1">
        <f t="array" aca="1" ref="K24"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117.25</v>
      </c>
      <c r="L24" s="24" cm="1">
        <f t="array" aca="1" ref="L24" ca="1">IF(OR(is_header,is_empty),"",
INDEX('Budget Planning'!$E:$CI,row_id,
MATCH(IF(selected_period="Total Year",selected_year,DATE(selected_year,selected_period,1)),'Budget Planning'!$E$9:$CI$9,0)))</f>
        <v>204.76</v>
      </c>
      <c r="M24" s="62" cm="1">
        <f t="array" ref="M24">IF(is_cat,
IF(header_row_id=income_header_row,MATCH(income_min_row,$C:$C,0),
   IF(header_row_id=expenses_header_row,MATCH(expenses_min_row,$C:$C,0),
      IF(header_row_id=savings_header_row,MATCH(savings_min_row,$C:$C,0),""))),"")</f>
        <v>22</v>
      </c>
      <c r="N24" s="24" cm="1">
        <f t="array" ref="N24">IF(is_cat,
IF(header_row_id=income_header_row,MATCH(income_max_row,$C:$C,0),
   IF(header_row_id=expenses_header_row,MATCH(expenses_max_row,$C:$C,0),
      IF(header_row_id=savings_header_row,MATCH(savings_max_row,$C:$C,0),""))),"")</f>
        <v>39</v>
      </c>
      <c r="O24" s="62" t="str">
        <f t="shared" si="2"/>
        <v>$K$22:$K$39</v>
      </c>
      <c r="P24" s="24">
        <f t="shared" ca="1" si="3"/>
        <v>8</v>
      </c>
      <c r="Q24" s="24" t="str">
        <f t="shared" si="4"/>
        <v>$L$22:$L$39</v>
      </c>
      <c r="R24" s="24">
        <f t="shared" ca="1" si="5"/>
        <v>7</v>
      </c>
      <c r="S24" s="62">
        <f t="shared" ca="1" si="6"/>
        <v>87</v>
      </c>
      <c r="T24" s="24" t="str">
        <f t="shared" si="7"/>
        <v>$S$22:$S$39</v>
      </c>
      <c r="U24" s="24">
        <f t="shared" ca="1" si="8"/>
        <v>7</v>
      </c>
      <c r="V24" s="24" t="str">
        <f t="shared" si="9"/>
        <v>$U$22:$U$24</v>
      </c>
      <c r="W24" s="61">
        <f t="shared" ca="1" si="10"/>
        <v>7</v>
      </c>
      <c r="X24" s="67">
        <f t="shared" ca="1" si="11"/>
        <v>30</v>
      </c>
      <c r="Y24" s="68" t="str">
        <f t="shared" ca="1" si="12"/>
        <v>Travel</v>
      </c>
      <c r="Z24" s="70">
        <f t="shared" ca="1" si="13"/>
        <v>424.62</v>
      </c>
      <c r="AA24" s="70">
        <f t="shared" ca="1" si="14"/>
        <v>300</v>
      </c>
      <c r="AB24" s="69">
        <f t="shared" ca="1" si="15"/>
        <v>1.4154</v>
      </c>
      <c r="AC24" s="70">
        <f t="shared" ca="1" si="16"/>
        <v>0</v>
      </c>
      <c r="AD24" s="70">
        <f t="shared" ca="1" si="17"/>
        <v>124.62</v>
      </c>
    </row>
    <row r="25" spans="3:30" x14ac:dyDescent="0.25">
      <c r="C25" s="57" cm="1">
        <f t="array" ref="C25">IF(C24=-1,-1,
    IF(C24&lt;income_max_row,C24+1,
       IF(C24=income_max_row,income_total_row,
          IF(C24=income_total_row,"/1",
             IF(C24="/1",expenses_header_row,
                IF(C24&lt;expenses_max_row,C24+1,
                   IF(C24=expenses_max_row,expenses_total_row,
                      IF(C24=expenses_total_row,"/2",
                         IF(C24="/2",savings_header_row,
                            IF(C24&lt;savings_max_row,C24+1,
                               IF(C24=savings_max_row,savings_total_row,-1)))))))))))</f>
        <v>27</v>
      </c>
      <c r="D25" s="24">
        <f t="shared" si="0"/>
        <v>23</v>
      </c>
      <c r="E25" s="62" cm="1">
        <f t="array" ref="E25">1*OR(row_id=income_header_row,row_id=expenses_header_row,row_id=savings_header_row)</f>
        <v>0</v>
      </c>
      <c r="F25" s="24">
        <f t="shared" si="18"/>
        <v>1</v>
      </c>
      <c r="G25" s="24" cm="1">
        <f t="array" ref="G25">OR(row_id=income_total_row,row_id=expenses_total_row,row_id=savings_total_row)*1</f>
        <v>0</v>
      </c>
      <c r="H25" s="61">
        <f t="shared" si="1"/>
        <v>0</v>
      </c>
      <c r="I25" s="24" t="str" cm="1">
        <f t="array" ref="I25">IFERROR(INDEX('Budget Planning'!C:C,header_row_id),"")</f>
        <v>Expenses</v>
      </c>
      <c r="J25" s="24" t="str" cm="1">
        <f t="array" ref="J25">IFERROR(INDEX('Budget Planning'!C:C,row_id),"")</f>
        <v>Car Payments</v>
      </c>
      <c r="K25" s="35" cm="1">
        <f t="array" aca="1" ref="K25"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25" s="24" cm="1">
        <f t="array" aca="1" ref="L25" ca="1">IF(OR(is_header,is_empty),"",
INDEX('Budget Planning'!$E:$CI,row_id,
MATCH(IF(selected_period="Total Year",selected_year,DATE(selected_year,selected_period,1)),'Budget Planning'!$E$9:$CI$9,0)))</f>
        <v>250</v>
      </c>
      <c r="M25" s="62" cm="1">
        <f t="array" ref="M25">IF(is_cat,
IF(header_row_id=income_header_row,MATCH(income_min_row,$C:$C,0),
   IF(header_row_id=expenses_header_row,MATCH(expenses_min_row,$C:$C,0),
      IF(header_row_id=savings_header_row,MATCH(savings_min_row,$C:$C,0),""))),"")</f>
        <v>22</v>
      </c>
      <c r="N25" s="24" cm="1">
        <f t="array" ref="N25">IF(is_cat,
IF(header_row_id=income_header_row,MATCH(income_max_row,$C:$C,0),
   IF(header_row_id=expenses_header_row,MATCH(expenses_max_row,$C:$C,0),
      IF(header_row_id=savings_header_row,MATCH(savings_max_row,$C:$C,0),""))),"")</f>
        <v>39</v>
      </c>
      <c r="O25" s="62" t="str">
        <f t="shared" si="2"/>
        <v>$K$22:$K$39</v>
      </c>
      <c r="P25" s="24">
        <f t="shared" ca="1" si="3"/>
        <v>14</v>
      </c>
      <c r="Q25" s="24" t="str">
        <f t="shared" si="4"/>
        <v>$L$22:$L$39</v>
      </c>
      <c r="R25" s="24">
        <f t="shared" ca="1" si="5"/>
        <v>6</v>
      </c>
      <c r="S25" s="62">
        <f t="shared" ca="1" si="6"/>
        <v>146</v>
      </c>
      <c r="T25" s="24" t="str">
        <f t="shared" si="7"/>
        <v>$S$22:$S$39</v>
      </c>
      <c r="U25" s="24">
        <f t="shared" ca="1" si="8"/>
        <v>9</v>
      </c>
      <c r="V25" s="24" t="str">
        <f t="shared" si="9"/>
        <v>$U$22:$U$25</v>
      </c>
      <c r="W25" s="61">
        <f t="shared" ca="1" si="10"/>
        <v>9</v>
      </c>
      <c r="X25" s="67">
        <f t="shared" ca="1" si="11"/>
        <v>32</v>
      </c>
      <c r="Y25" s="68" t="str">
        <f t="shared" ca="1" si="12"/>
        <v>Gifts</v>
      </c>
      <c r="Z25" s="70">
        <f t="shared" ca="1" si="13"/>
        <v>250</v>
      </c>
      <c r="AA25" s="70">
        <f t="shared" ca="1" si="14"/>
        <v>200</v>
      </c>
      <c r="AB25" s="69">
        <f t="shared" ca="1" si="15"/>
        <v>1.25</v>
      </c>
      <c r="AC25" s="70">
        <f t="shared" ca="1" si="16"/>
        <v>0</v>
      </c>
      <c r="AD25" s="70">
        <f t="shared" ca="1" si="17"/>
        <v>50</v>
      </c>
    </row>
    <row r="26" spans="3:30" x14ac:dyDescent="0.25">
      <c r="C26" s="57" cm="1">
        <f t="array" ref="C26">IF(C25=-1,-1,
    IF(C25&lt;income_max_row,C25+1,
       IF(C25=income_max_row,income_total_row,
          IF(C25=income_total_row,"/1",
             IF(C25="/1",expenses_header_row,
                IF(C25&lt;expenses_max_row,C25+1,
                   IF(C25=expenses_max_row,expenses_total_row,
                      IF(C25=expenses_total_row,"/2",
                         IF(C25="/2",savings_header_row,
                            IF(C25&lt;savings_max_row,C25+1,
                               IF(C25=savings_max_row,savings_total_row,-1)))))))))))</f>
        <v>28</v>
      </c>
      <c r="D26" s="24">
        <f t="shared" si="0"/>
        <v>23</v>
      </c>
      <c r="E26" s="62" cm="1">
        <f t="array" ref="E26">1*OR(row_id=income_header_row,row_id=expenses_header_row,row_id=savings_header_row)</f>
        <v>0</v>
      </c>
      <c r="F26" s="24">
        <f t="shared" si="18"/>
        <v>1</v>
      </c>
      <c r="G26" s="24" cm="1">
        <f t="array" ref="G26">OR(row_id=income_total_row,row_id=expenses_total_row,row_id=savings_total_row)*1</f>
        <v>0</v>
      </c>
      <c r="H26" s="61">
        <f t="shared" si="1"/>
        <v>0</v>
      </c>
      <c r="I26" s="24" t="str" cm="1">
        <f t="array" ref="I26">IFERROR(INDEX('Budget Planning'!C:C,header_row_id),"")</f>
        <v>Expenses</v>
      </c>
      <c r="J26" s="24" t="str" cm="1">
        <f t="array" ref="J26">IFERROR(INDEX('Budget Planning'!C:C,row_id),"")</f>
        <v>Car Insurance</v>
      </c>
      <c r="K26" s="35" cm="1">
        <f t="array" aca="1" ref="K26"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202.4</v>
      </c>
      <c r="L26" s="24" cm="1">
        <f t="array" aca="1" ref="L26" ca="1">IF(OR(is_header,is_empty),"",
INDEX('Budget Planning'!$E:$CI,row_id,
MATCH(IF(selected_period="Total Year",selected_year,DATE(selected_year,selected_period,1)),'Budget Planning'!$E$9:$CI$9,0)))</f>
        <v>404.4</v>
      </c>
      <c r="M26" s="62" cm="1">
        <f t="array" ref="M26">IF(is_cat,
IF(header_row_id=income_header_row,MATCH(income_min_row,$C:$C,0),
   IF(header_row_id=expenses_header_row,MATCH(expenses_min_row,$C:$C,0),
      IF(header_row_id=savings_header_row,MATCH(savings_min_row,$C:$C,0),""))),"")</f>
        <v>22</v>
      </c>
      <c r="N26" s="24" cm="1">
        <f t="array" ref="N26">IF(is_cat,
IF(header_row_id=income_header_row,MATCH(income_max_row,$C:$C,0),
   IF(header_row_id=expenses_header_row,MATCH(expenses_max_row,$C:$C,0),
      IF(header_row_id=savings_header_row,MATCH(savings_max_row,$C:$C,0),""))),"")</f>
        <v>39</v>
      </c>
      <c r="O26" s="62" t="str">
        <f t="shared" si="2"/>
        <v>$K$22:$K$39</v>
      </c>
      <c r="P26" s="24">
        <f t="shared" ca="1" si="3"/>
        <v>6</v>
      </c>
      <c r="Q26" s="24" t="str">
        <f t="shared" si="4"/>
        <v>$L$22:$L$39</v>
      </c>
      <c r="R26" s="24">
        <f t="shared" ca="1" si="5"/>
        <v>4</v>
      </c>
      <c r="S26" s="62">
        <f t="shared" ca="1" si="6"/>
        <v>64</v>
      </c>
      <c r="T26" s="24" t="str">
        <f t="shared" si="7"/>
        <v>$S$22:$S$39</v>
      </c>
      <c r="U26" s="24">
        <f t="shared" ca="1" si="8"/>
        <v>5</v>
      </c>
      <c r="V26" s="24" t="str">
        <f t="shared" si="9"/>
        <v>$U$22:$U$26</v>
      </c>
      <c r="W26" s="61">
        <f t="shared" ca="1" si="10"/>
        <v>5</v>
      </c>
      <c r="X26" s="67">
        <f t="shared" ca="1" si="11"/>
        <v>28</v>
      </c>
      <c r="Y26" s="68" t="str">
        <f t="shared" ca="1" si="12"/>
        <v>Car Insurance</v>
      </c>
      <c r="Z26" s="70">
        <f t="shared" ca="1" si="13"/>
        <v>202.4</v>
      </c>
      <c r="AA26" s="70">
        <f t="shared" ca="1" si="14"/>
        <v>404.4</v>
      </c>
      <c r="AB26" s="69">
        <f t="shared" ca="1" si="15"/>
        <v>0.50049455984174085</v>
      </c>
      <c r="AC26" s="70">
        <f t="shared" ca="1" si="16"/>
        <v>201.99999999999997</v>
      </c>
      <c r="AD26" s="70">
        <f t="shared" ca="1" si="17"/>
        <v>0</v>
      </c>
    </row>
    <row r="27" spans="3:30" x14ac:dyDescent="0.25">
      <c r="C27" s="57" cm="1">
        <f t="array" ref="C27">IF(C26=-1,-1,
    IF(C26&lt;income_max_row,C26+1,
       IF(C26=income_max_row,income_total_row,
          IF(C26=income_total_row,"/1",
             IF(C26="/1",expenses_header_row,
                IF(C26&lt;expenses_max_row,C26+1,
                   IF(C26=expenses_max_row,expenses_total_row,
                      IF(C26=expenses_total_row,"/2",
                         IF(C26="/2",savings_header_row,
                            IF(C26&lt;savings_max_row,C26+1,
                               IF(C26=savings_max_row,savings_total_row,-1)))))))))))</f>
        <v>29</v>
      </c>
      <c r="D27" s="24">
        <f t="shared" si="0"/>
        <v>23</v>
      </c>
      <c r="E27" s="62" cm="1">
        <f t="array" ref="E27">1*OR(row_id=income_header_row,row_id=expenses_header_row,row_id=savings_header_row)</f>
        <v>0</v>
      </c>
      <c r="F27" s="24">
        <f t="shared" si="18"/>
        <v>1</v>
      </c>
      <c r="G27" s="24" cm="1">
        <f t="array" ref="G27">OR(row_id=income_total_row,row_id=expenses_total_row,row_id=savings_total_row)*1</f>
        <v>0</v>
      </c>
      <c r="H27" s="61">
        <f t="shared" si="1"/>
        <v>0</v>
      </c>
      <c r="I27" s="24" t="str" cm="1">
        <f t="array" ref="I27">IFERROR(INDEX('Budget Planning'!C:C,header_row_id),"")</f>
        <v>Expenses</v>
      </c>
      <c r="J27" s="24" t="str" cm="1">
        <f t="array" ref="J27">IFERROR(INDEX('Budget Planning'!C:C,row_id),"")</f>
        <v>Car Warranty</v>
      </c>
      <c r="K27" s="35" cm="1">
        <f t="array" aca="1" ref="K27"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27" s="24" cm="1">
        <f t="array" aca="1" ref="L27" ca="1">IF(OR(is_header,is_empty),"",
INDEX('Budget Planning'!$E:$CI,row_id,
MATCH(IF(selected_period="Total Year",selected_year,DATE(selected_year,selected_period,1)),'Budget Planning'!$E$9:$CI$9,0)))</f>
        <v>151.66999999999999</v>
      </c>
      <c r="M27" s="62" cm="1">
        <f t="array" ref="M27">IF(is_cat,
IF(header_row_id=income_header_row,MATCH(income_min_row,$C:$C,0),
   IF(header_row_id=expenses_header_row,MATCH(expenses_min_row,$C:$C,0),
      IF(header_row_id=savings_header_row,MATCH(savings_min_row,$C:$C,0),""))),"")</f>
        <v>22</v>
      </c>
      <c r="N27" s="24" cm="1">
        <f t="array" ref="N27">IF(is_cat,
IF(header_row_id=income_header_row,MATCH(income_max_row,$C:$C,0),
   IF(header_row_id=expenses_header_row,MATCH(expenses_max_row,$C:$C,0),
      IF(header_row_id=savings_header_row,MATCH(savings_max_row,$C:$C,0),""))),"")</f>
        <v>39</v>
      </c>
      <c r="O27" s="62" t="str">
        <f t="shared" si="2"/>
        <v>$K$22:$K$39</v>
      </c>
      <c r="P27" s="24">
        <f t="shared" ca="1" si="3"/>
        <v>14</v>
      </c>
      <c r="Q27" s="24" t="str">
        <f t="shared" si="4"/>
        <v>$L$22:$L$39</v>
      </c>
      <c r="R27" s="24">
        <f t="shared" ca="1" si="5"/>
        <v>10</v>
      </c>
      <c r="S27" s="62">
        <f t="shared" ca="1" si="6"/>
        <v>1410</v>
      </c>
      <c r="T27" s="24" t="str">
        <f t="shared" si="7"/>
        <v>$S$22:$S$39</v>
      </c>
      <c r="U27" s="24">
        <f t="shared" ca="1" si="8"/>
        <v>15</v>
      </c>
      <c r="V27" s="24" t="str">
        <f t="shared" si="9"/>
        <v>$U$22:$U$27</v>
      </c>
      <c r="W27" s="61">
        <f t="shared" ca="1" si="10"/>
        <v>15</v>
      </c>
      <c r="X27" s="67">
        <f t="shared" ca="1" si="11"/>
        <v>38</v>
      </c>
      <c r="Y27" s="68" t="str">
        <f t="shared" ca="1" si="12"/>
        <v xml:space="preserve">Fun/Activities </v>
      </c>
      <c r="Z27" s="70">
        <f t="shared" ca="1" si="13"/>
        <v>123.9</v>
      </c>
      <c r="AA27" s="70">
        <f t="shared" ca="1" si="14"/>
        <v>549.35</v>
      </c>
      <c r="AB27" s="69">
        <f t="shared" ca="1" si="15"/>
        <v>0.22553927368708473</v>
      </c>
      <c r="AC27" s="70">
        <f t="shared" ca="1" si="16"/>
        <v>425.45000000000005</v>
      </c>
      <c r="AD27" s="70">
        <f t="shared" ca="1" si="17"/>
        <v>0</v>
      </c>
    </row>
    <row r="28" spans="3:30" x14ac:dyDescent="0.25">
      <c r="C28" s="57" cm="1">
        <f t="array" ref="C28">IF(C27=-1,-1,
    IF(C27&lt;income_max_row,C27+1,
       IF(C27=income_max_row,income_total_row,
          IF(C27=income_total_row,"/1",
             IF(C27="/1",expenses_header_row,
                IF(C27&lt;expenses_max_row,C27+1,
                   IF(C27=expenses_max_row,expenses_total_row,
                      IF(C27=expenses_total_row,"/2",
                         IF(C27="/2",savings_header_row,
                            IF(C27&lt;savings_max_row,C27+1,
                               IF(C27=savings_max_row,savings_total_row,-1)))))))))))</f>
        <v>30</v>
      </c>
      <c r="D28" s="24">
        <f t="shared" si="0"/>
        <v>23</v>
      </c>
      <c r="E28" s="62" cm="1">
        <f t="array" ref="E28">1*OR(row_id=income_header_row,row_id=expenses_header_row,row_id=savings_header_row)</f>
        <v>0</v>
      </c>
      <c r="F28" s="24">
        <f t="shared" si="18"/>
        <v>1</v>
      </c>
      <c r="G28" s="24" cm="1">
        <f t="array" ref="G28">OR(row_id=income_total_row,row_id=expenses_total_row,row_id=savings_total_row)*1</f>
        <v>0</v>
      </c>
      <c r="H28" s="61">
        <f t="shared" si="1"/>
        <v>0</v>
      </c>
      <c r="I28" s="24" t="str" cm="1">
        <f t="array" ref="I28">IFERROR(INDEX('Budget Planning'!C:C,header_row_id),"")</f>
        <v>Expenses</v>
      </c>
      <c r="J28" s="24" t="str" cm="1">
        <f t="array" ref="J28">IFERROR(INDEX('Budget Planning'!C:C,row_id),"")</f>
        <v>Medical</v>
      </c>
      <c r="K28" s="35" cm="1">
        <f t="array" aca="1" ref="K28"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28" s="24" cm="1">
        <f t="array" aca="1" ref="L28" ca="1">IF(OR(is_header,is_empty),"",
INDEX('Budget Planning'!$E:$CI,row_id,
MATCH(IF(selected_period="Total Year",selected_year,DATE(selected_year,selected_period,1)),'Budget Planning'!$E$9:$CI$9,0)))</f>
        <v>0</v>
      </c>
      <c r="M28" s="62" cm="1">
        <f t="array" ref="M28">IF(is_cat,
IF(header_row_id=income_header_row,MATCH(income_min_row,$C:$C,0),
   IF(header_row_id=expenses_header_row,MATCH(expenses_min_row,$C:$C,0),
      IF(header_row_id=savings_header_row,MATCH(savings_min_row,$C:$C,0),""))),"")</f>
        <v>22</v>
      </c>
      <c r="N28" s="24" cm="1">
        <f t="array" ref="N28">IF(is_cat,
IF(header_row_id=income_header_row,MATCH(income_max_row,$C:$C,0),
   IF(header_row_id=expenses_header_row,MATCH(expenses_max_row,$C:$C,0),
      IF(header_row_id=savings_header_row,MATCH(savings_max_row,$C:$C,0),""))),"")</f>
        <v>39</v>
      </c>
      <c r="O28" s="62" t="str">
        <f t="shared" si="2"/>
        <v>$K$22:$K$39</v>
      </c>
      <c r="P28" s="24">
        <f t="shared" ca="1" si="3"/>
        <v>14</v>
      </c>
      <c r="Q28" s="24" t="str">
        <f t="shared" si="4"/>
        <v>$L$22:$L$39</v>
      </c>
      <c r="R28" s="24">
        <f t="shared" ca="1" si="5"/>
        <v>18</v>
      </c>
      <c r="S28" s="62">
        <f t="shared" ca="1" si="6"/>
        <v>1418</v>
      </c>
      <c r="T28" s="24" t="str">
        <f t="shared" si="7"/>
        <v>$S$22:$S$39</v>
      </c>
      <c r="U28" s="24">
        <f t="shared" ca="1" si="8"/>
        <v>18</v>
      </c>
      <c r="V28" s="24" t="str">
        <f t="shared" si="9"/>
        <v>$U$22:$U$28</v>
      </c>
      <c r="W28" s="61">
        <f t="shared" ca="1" si="10"/>
        <v>18</v>
      </c>
      <c r="X28" s="67">
        <f t="shared" ca="1" si="11"/>
        <v>41</v>
      </c>
      <c r="Y28" s="68" t="str">
        <f t="shared" ca="1" si="12"/>
        <v>Benifits</v>
      </c>
      <c r="Z28" s="70">
        <f t="shared" ca="1" si="13"/>
        <v>117.25</v>
      </c>
      <c r="AA28" s="70">
        <f t="shared" ca="1" si="14"/>
        <v>204.76</v>
      </c>
      <c r="AB28" s="69">
        <f t="shared" ca="1" si="15"/>
        <v>0.57262160578237942</v>
      </c>
      <c r="AC28" s="70">
        <f ca="1">IF(is_empty,"",IF(is_header,"Remaining",IF(out_budget-out_tracked&gt;0,out_budget-out_tracked,0)))</f>
        <v>87.509999999999991</v>
      </c>
      <c r="AD28" s="70">
        <f t="shared" ca="1" si="17"/>
        <v>0</v>
      </c>
    </row>
    <row r="29" spans="3:30" x14ac:dyDescent="0.25">
      <c r="C29" s="57" cm="1">
        <f t="array" ref="C29">IF(C28=-1,-1,
    IF(C28&lt;income_max_row,C28+1,
       IF(C28=income_max_row,income_total_row,
          IF(C28=income_total_row,"/1",
             IF(C28="/1",expenses_header_row,
                IF(C28&lt;expenses_max_row,C28+1,
                   IF(C28=expenses_max_row,expenses_total_row,
                      IF(C28=expenses_total_row,"/2",
                         IF(C28="/2",savings_header_row,
                            IF(C28&lt;savings_max_row,C28+1,
                               IF(C28=savings_max_row,savings_total_row,-1)))))))))))</f>
        <v>31</v>
      </c>
      <c r="D29" s="24">
        <f t="shared" si="0"/>
        <v>23</v>
      </c>
      <c r="E29" s="62" cm="1">
        <f t="array" ref="E29">1*OR(row_id=income_header_row,row_id=expenses_header_row,row_id=savings_header_row)</f>
        <v>0</v>
      </c>
      <c r="F29" s="24">
        <f t="shared" si="18"/>
        <v>1</v>
      </c>
      <c r="G29" s="24" cm="1">
        <f t="array" ref="G29">OR(row_id=income_total_row,row_id=expenses_total_row,row_id=savings_total_row)*1</f>
        <v>0</v>
      </c>
      <c r="H29" s="61">
        <f t="shared" si="1"/>
        <v>0</v>
      </c>
      <c r="I29" s="24" t="str" cm="1">
        <f t="array" ref="I29">IFERROR(INDEX('Budget Planning'!C:C,header_row_id),"")</f>
        <v>Expenses</v>
      </c>
      <c r="J29" s="24" t="str" cm="1">
        <f t="array" ref="J29">IFERROR(INDEX('Budget Planning'!C:C,row_id),"")</f>
        <v>Utilities</v>
      </c>
      <c r="K29" s="35" cm="1">
        <f t="array" aca="1" ref="K29"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93.18</v>
      </c>
      <c r="L29" s="24" cm="1">
        <f t="array" aca="1" ref="L29" ca="1">IF(OR(is_header,is_empty),"",
INDEX('Budget Planning'!$E:$CI,row_id,
MATCH(IF(selected_period="Total Year",selected_year,DATE(selected_year,selected_period,1)),'Budget Planning'!$E$9:$CI$9,0)))</f>
        <v>150</v>
      </c>
      <c r="M29" s="62" cm="1">
        <f t="array" ref="M29">IF(is_cat,
IF(header_row_id=income_header_row,MATCH(income_min_row,$C:$C,0),
   IF(header_row_id=expenses_header_row,MATCH(expenses_min_row,$C:$C,0),
      IF(header_row_id=savings_header_row,MATCH(savings_min_row,$C:$C,0),""))),"")</f>
        <v>22</v>
      </c>
      <c r="N29" s="24" cm="1">
        <f t="array" ref="N29">IF(is_cat,
IF(header_row_id=income_header_row,MATCH(income_max_row,$C:$C,0),
   IF(header_row_id=expenses_header_row,MATCH(expenses_max_row,$C:$C,0),
      IF(header_row_id=savings_header_row,MATCH(savings_max_row,$C:$C,0),""))),"")</f>
        <v>39</v>
      </c>
      <c r="O29" s="62" t="str">
        <f t="shared" si="2"/>
        <v>$K$22:$K$39</v>
      </c>
      <c r="P29" s="24">
        <f t="shared" ca="1" si="3"/>
        <v>9</v>
      </c>
      <c r="Q29" s="24" t="str">
        <f t="shared" si="4"/>
        <v>$L$22:$L$39</v>
      </c>
      <c r="R29" s="24">
        <f t="shared" ca="1" si="5"/>
        <v>11</v>
      </c>
      <c r="S29" s="62">
        <f t="shared" ca="1" si="6"/>
        <v>911</v>
      </c>
      <c r="T29" s="24" t="str">
        <f t="shared" si="7"/>
        <v>$S$22:$S$39</v>
      </c>
      <c r="U29" s="24">
        <f t="shared" ca="1" si="8"/>
        <v>11</v>
      </c>
      <c r="V29" s="24" t="str">
        <f t="shared" si="9"/>
        <v>$U$22:$U$29</v>
      </c>
      <c r="W29" s="61">
        <f t="shared" ca="1" si="10"/>
        <v>11</v>
      </c>
      <c r="X29" s="67">
        <f t="shared" ca="1" si="11"/>
        <v>34</v>
      </c>
      <c r="Y29" s="68" t="str">
        <f t="shared" ca="1" si="12"/>
        <v>Groceries</v>
      </c>
      <c r="Z29" s="70">
        <f t="shared" ca="1" si="13"/>
        <v>21.56</v>
      </c>
      <c r="AA29" s="70">
        <f t="shared" ca="1" si="14"/>
        <v>200</v>
      </c>
      <c r="AB29" s="69">
        <f t="shared" ca="1" si="15"/>
        <v>0.10779999999999999</v>
      </c>
      <c r="AC29" s="70">
        <f t="shared" ca="1" si="16"/>
        <v>178.44</v>
      </c>
      <c r="AD29" s="70">
        <f t="shared" ca="1" si="17"/>
        <v>0</v>
      </c>
    </row>
    <row r="30" spans="3:30" x14ac:dyDescent="0.25">
      <c r="C30" s="57" cm="1">
        <f t="array" ref="C30">IF(C29=-1,-1,
    IF(C29&lt;income_max_row,C29+1,
       IF(C29=income_max_row,income_total_row,
          IF(C29=income_total_row,"/1",
             IF(C29="/1",expenses_header_row,
                IF(C29&lt;expenses_max_row,C29+1,
                   IF(C29=expenses_max_row,expenses_total_row,
                      IF(C29=expenses_total_row,"/2",
                         IF(C29="/2",savings_header_row,
                            IF(C29&lt;savings_max_row,C29+1,
                               IF(C29=savings_max_row,savings_total_row,-1)))))))))))</f>
        <v>32</v>
      </c>
      <c r="D30" s="24">
        <f t="shared" si="0"/>
        <v>23</v>
      </c>
      <c r="E30" s="62" cm="1">
        <f t="array" ref="E30">1*OR(row_id=income_header_row,row_id=expenses_header_row,row_id=savings_header_row)</f>
        <v>0</v>
      </c>
      <c r="F30" s="24">
        <f t="shared" si="18"/>
        <v>1</v>
      </c>
      <c r="G30" s="24" cm="1">
        <f t="array" ref="G30">OR(row_id=income_total_row,row_id=expenses_total_row,row_id=savings_total_row)*1</f>
        <v>0</v>
      </c>
      <c r="H30" s="61">
        <f t="shared" si="1"/>
        <v>0</v>
      </c>
      <c r="I30" s="24" t="str" cm="1">
        <f t="array" ref="I30">IFERROR(INDEX('Budget Planning'!C:C,header_row_id),"")</f>
        <v>Expenses</v>
      </c>
      <c r="J30" s="24" t="str" cm="1">
        <f t="array" ref="J30">IFERROR(INDEX('Budget Planning'!C:C,row_id),"")</f>
        <v>Groceries</v>
      </c>
      <c r="K30" s="35" cm="1">
        <f t="array" aca="1" ref="K30"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21.56</v>
      </c>
      <c r="L30" s="24" cm="1">
        <f t="array" aca="1" ref="L30" ca="1">IF(OR(is_header,is_empty),"",
INDEX('Budget Planning'!$E:$CI,row_id,
MATCH(IF(selected_period="Total Year",selected_year,DATE(selected_year,selected_period,1)),'Budget Planning'!$E$9:$CI$9,0)))</f>
        <v>200</v>
      </c>
      <c r="M30" s="62" cm="1">
        <f t="array" ref="M30">IF(is_cat,
IF(header_row_id=income_header_row,MATCH(income_min_row,$C:$C,0),
   IF(header_row_id=expenses_header_row,MATCH(expenses_min_row,$C:$C,0),
      IF(header_row_id=savings_header_row,MATCH(savings_min_row,$C:$C,0),""))),"")</f>
        <v>22</v>
      </c>
      <c r="N30" s="24" cm="1">
        <f t="array" ref="N30">IF(is_cat,
IF(header_row_id=income_header_row,MATCH(income_max_row,$C:$C,0),
   IF(header_row_id=expenses_header_row,MATCH(expenses_max_row,$C:$C,0),
      IF(header_row_id=savings_header_row,MATCH(savings_max_row,$C:$C,0),""))),"")</f>
        <v>39</v>
      </c>
      <c r="O30" s="62" t="str">
        <f t="shared" si="2"/>
        <v>$K$22:$K$39</v>
      </c>
      <c r="P30" s="24">
        <f t="shared" ca="1" si="3"/>
        <v>12</v>
      </c>
      <c r="Q30" s="24" t="str">
        <f t="shared" si="4"/>
        <v>$L$22:$L$39</v>
      </c>
      <c r="R30" s="24">
        <f t="shared" ca="1" si="5"/>
        <v>8</v>
      </c>
      <c r="S30" s="62">
        <f t="shared" ca="1" si="6"/>
        <v>128</v>
      </c>
      <c r="T30" s="24" t="str">
        <f t="shared" si="7"/>
        <v>$S$22:$S$39</v>
      </c>
      <c r="U30" s="24">
        <f t="shared" ca="1" si="8"/>
        <v>8</v>
      </c>
      <c r="V30" s="24" t="str">
        <f t="shared" si="9"/>
        <v>$U$22:$U$30</v>
      </c>
      <c r="W30" s="61">
        <f t="shared" ca="1" si="10"/>
        <v>8</v>
      </c>
      <c r="X30" s="67">
        <f t="shared" ca="1" si="11"/>
        <v>31</v>
      </c>
      <c r="Y30" s="68" t="str">
        <f t="shared" ca="1" si="12"/>
        <v>Car Payments</v>
      </c>
      <c r="Z30" s="70">
        <f t="shared" ca="1" si="13"/>
        <v>0</v>
      </c>
      <c r="AA30" s="70">
        <f t="shared" ca="1" si="14"/>
        <v>250</v>
      </c>
      <c r="AB30" s="69">
        <f t="shared" ca="1" si="15"/>
        <v>0</v>
      </c>
      <c r="AC30" s="70">
        <f t="shared" ca="1" si="16"/>
        <v>250</v>
      </c>
      <c r="AD30" s="70">
        <f t="shared" ca="1" si="17"/>
        <v>0</v>
      </c>
    </row>
    <row r="31" spans="3:30" x14ac:dyDescent="0.25">
      <c r="C31" s="57" cm="1">
        <f t="array" ref="C31">IF(C30=-1,-1,
    IF(C30&lt;income_max_row,C30+1,
       IF(C30=income_max_row,income_total_row,
          IF(C30=income_total_row,"/1",
             IF(C30="/1",expenses_header_row,
                IF(C30&lt;expenses_max_row,C30+1,
                   IF(C30=expenses_max_row,expenses_total_row,
                      IF(C30=expenses_total_row,"/2",
                         IF(C30="/2",savings_header_row,
                            IF(C30&lt;savings_max_row,C30+1,
                               IF(C30=savings_max_row,savings_total_row,-1)))))))))))</f>
        <v>33</v>
      </c>
      <c r="D31" s="24">
        <f t="shared" si="0"/>
        <v>23</v>
      </c>
      <c r="E31" s="62" cm="1">
        <f t="array" ref="E31">1*OR(row_id=income_header_row,row_id=expenses_header_row,row_id=savings_header_row)</f>
        <v>0</v>
      </c>
      <c r="F31" s="24">
        <f t="shared" si="18"/>
        <v>1</v>
      </c>
      <c r="G31" s="24" cm="1">
        <f t="array" ref="G31">OR(row_id=income_total_row,row_id=expenses_total_row,row_id=savings_total_row)*1</f>
        <v>0</v>
      </c>
      <c r="H31" s="61">
        <f t="shared" si="1"/>
        <v>0</v>
      </c>
      <c r="I31" s="24" t="str" cm="1">
        <f t="array" ref="I31">IFERROR(INDEX('Budget Planning'!C:C,header_row_id),"")</f>
        <v>Expenses</v>
      </c>
      <c r="J31" s="24" t="str" cm="1">
        <f t="array" ref="J31">IFERROR(INDEX('Budget Planning'!C:C,row_id),"")</f>
        <v>Travel</v>
      </c>
      <c r="K31" s="35" cm="1">
        <f t="array" aca="1" ref="K31"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424.62</v>
      </c>
      <c r="L31" s="24" cm="1">
        <f t="array" aca="1" ref="L31" ca="1">IF(OR(is_header,is_empty),"",
INDEX('Budget Planning'!$E:$CI,row_id,
MATCH(IF(selected_period="Total Year",selected_year,DATE(selected_year,selected_period,1)),'Budget Planning'!$E$9:$CI$9,0)))</f>
        <v>300</v>
      </c>
      <c r="M31" s="62" cm="1">
        <f t="array" ref="M31">IF(is_cat,
IF(header_row_id=income_header_row,MATCH(income_min_row,$C:$C,0),
   IF(header_row_id=expenses_header_row,MATCH(expenses_min_row,$C:$C,0),
      IF(header_row_id=savings_header_row,MATCH(savings_min_row,$C:$C,0),""))),"")</f>
        <v>22</v>
      </c>
      <c r="N31" s="24" cm="1">
        <f t="array" ref="N31">IF(is_cat,
IF(header_row_id=income_header_row,MATCH(income_max_row,$C:$C,0),
   IF(header_row_id=expenses_header_row,MATCH(expenses_max_row,$C:$C,0),
      IF(header_row_id=savings_header_row,MATCH(savings_max_row,$C:$C,0),""))),"")</f>
        <v>39</v>
      </c>
      <c r="O31" s="62" t="str">
        <f t="shared" si="2"/>
        <v>$K$22:$K$39</v>
      </c>
      <c r="P31" s="24">
        <f t="shared" ca="1" si="3"/>
        <v>4</v>
      </c>
      <c r="Q31" s="24" t="str">
        <f t="shared" si="4"/>
        <v>$L$22:$L$39</v>
      </c>
      <c r="R31" s="24">
        <f t="shared" ca="1" si="5"/>
        <v>5</v>
      </c>
      <c r="S31" s="62">
        <f t="shared" ca="1" si="6"/>
        <v>45</v>
      </c>
      <c r="T31" s="24" t="str">
        <f t="shared" si="7"/>
        <v>$S$22:$S$39</v>
      </c>
      <c r="U31" s="24">
        <f t="shared" ca="1" si="8"/>
        <v>3</v>
      </c>
      <c r="V31" s="24" t="str">
        <f t="shared" si="9"/>
        <v>$U$22:$U$31</v>
      </c>
      <c r="W31" s="61">
        <f t="shared" ca="1" si="10"/>
        <v>3</v>
      </c>
      <c r="X31" s="67">
        <f t="shared" ca="1" si="11"/>
        <v>26</v>
      </c>
      <c r="Y31" s="68" t="str">
        <f t="shared" ca="1" si="12"/>
        <v>Food</v>
      </c>
      <c r="Z31" s="70">
        <f t="shared" ca="1" si="13"/>
        <v>429.33</v>
      </c>
      <c r="AA31" s="70">
        <f t="shared" ca="1" si="14"/>
        <v>100</v>
      </c>
      <c r="AB31" s="69">
        <f t="shared" ca="1" si="15"/>
        <v>4.2932999999999995</v>
      </c>
      <c r="AC31" s="70">
        <f t="shared" ca="1" si="16"/>
        <v>0</v>
      </c>
      <c r="AD31" s="70">
        <f t="shared" ca="1" si="17"/>
        <v>329.33</v>
      </c>
    </row>
    <row r="32" spans="3:30" x14ac:dyDescent="0.25">
      <c r="C32" s="57" cm="1">
        <f t="array" ref="C32">IF(C31=-1,-1,
    IF(C31&lt;income_max_row,C31+1,
       IF(C31=income_max_row,income_total_row,
          IF(C31=income_total_row,"/1",
             IF(C31="/1",expenses_header_row,
                IF(C31&lt;expenses_max_row,C31+1,
                   IF(C31=expenses_max_row,expenses_total_row,
                      IF(C31=expenses_total_row,"/2",
                         IF(C31="/2",savings_header_row,
                            IF(C31&lt;savings_max_row,C31+1,
                               IF(C31=savings_max_row,savings_total_row,-1)))))))))))</f>
        <v>34</v>
      </c>
      <c r="D32" s="24">
        <f t="shared" si="0"/>
        <v>23</v>
      </c>
      <c r="E32" s="62" cm="1">
        <f t="array" ref="E32">1*OR(row_id=income_header_row,row_id=expenses_header_row,row_id=savings_header_row)</f>
        <v>0</v>
      </c>
      <c r="F32" s="24">
        <f t="shared" si="18"/>
        <v>1</v>
      </c>
      <c r="G32" s="24" cm="1">
        <f t="array" ref="G32">OR(row_id=income_total_row,row_id=expenses_total_row,row_id=savings_total_row)*1</f>
        <v>0</v>
      </c>
      <c r="H32" s="61">
        <f t="shared" si="1"/>
        <v>0</v>
      </c>
      <c r="I32" s="24" t="str" cm="1">
        <f t="array" ref="I32">IFERROR(INDEX('Budget Planning'!C:C,header_row_id),"")</f>
        <v>Expenses</v>
      </c>
      <c r="J32" s="24" t="str" cm="1">
        <f t="array" ref="J32">IFERROR(INDEX('Budget Planning'!C:C,row_id),"")</f>
        <v>Transportation</v>
      </c>
      <c r="K32" s="35" cm="1">
        <f t="array" aca="1" ref="K32"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39.35</v>
      </c>
      <c r="L32" s="24" cm="1">
        <f t="array" aca="1" ref="L32" ca="1">IF(OR(is_header,is_empty),"",
INDEX('Budget Planning'!$E:$CI,row_id,
MATCH(IF(selected_period="Total Year",selected_year,DATE(selected_year,selected_period,1)),'Budget Planning'!$E$9:$CI$9,0)))</f>
        <v>80</v>
      </c>
      <c r="M32" s="62" cm="1">
        <f t="array" ref="M32">IF(is_cat,
IF(header_row_id=income_header_row,MATCH(income_min_row,$C:$C,0),
   IF(header_row_id=expenses_header_row,MATCH(expenses_min_row,$C:$C,0),
      IF(header_row_id=savings_header_row,MATCH(savings_min_row,$C:$C,0),""))),"")</f>
        <v>22</v>
      </c>
      <c r="N32" s="24" cm="1">
        <f t="array" ref="N32">IF(is_cat,
IF(header_row_id=income_header_row,MATCH(income_max_row,$C:$C,0),
   IF(header_row_id=expenses_header_row,MATCH(expenses_max_row,$C:$C,0),
      IF(header_row_id=savings_header_row,MATCH(savings_max_row,$C:$C,0),""))),"")</f>
        <v>39</v>
      </c>
      <c r="O32" s="62" t="str">
        <f t="shared" si="2"/>
        <v>$K$22:$K$39</v>
      </c>
      <c r="P32" s="24">
        <f t="shared" ca="1" si="3"/>
        <v>11</v>
      </c>
      <c r="Q32" s="24" t="str">
        <f t="shared" si="4"/>
        <v>$L$22:$L$39</v>
      </c>
      <c r="R32" s="24">
        <f t="shared" ca="1" si="5"/>
        <v>13</v>
      </c>
      <c r="S32" s="62">
        <f t="shared" ca="1" si="6"/>
        <v>1113</v>
      </c>
      <c r="T32" s="24" t="str">
        <f t="shared" si="7"/>
        <v>$S$22:$S$39</v>
      </c>
      <c r="U32" s="24">
        <f t="shared" ca="1" si="8"/>
        <v>13</v>
      </c>
      <c r="V32" s="24" t="str">
        <f t="shared" si="9"/>
        <v>$U$22:$U$32</v>
      </c>
      <c r="W32" s="61">
        <f t="shared" ca="1" si="10"/>
        <v>13</v>
      </c>
      <c r="X32" s="67">
        <f t="shared" ca="1" si="11"/>
        <v>36</v>
      </c>
      <c r="Y32" s="68" t="str">
        <f t="shared" ca="1" si="12"/>
        <v>Utilities</v>
      </c>
      <c r="Z32" s="70">
        <f t="shared" ca="1" si="13"/>
        <v>93.18</v>
      </c>
      <c r="AA32" s="70">
        <f t="shared" ca="1" si="14"/>
        <v>150</v>
      </c>
      <c r="AB32" s="69">
        <f t="shared" ca="1" si="15"/>
        <v>0.62120000000000009</v>
      </c>
      <c r="AC32" s="70">
        <f t="shared" ca="1" si="16"/>
        <v>56.819999999999993</v>
      </c>
      <c r="AD32" s="70">
        <f t="shared" ca="1" si="17"/>
        <v>0</v>
      </c>
    </row>
    <row r="33" spans="3:30" x14ac:dyDescent="0.25">
      <c r="C33" s="57" cm="1">
        <f t="array" ref="C33">IF(C32=-1,-1,
    IF(C32&lt;income_max_row,C32+1,
       IF(C32=income_max_row,income_total_row,
          IF(C32=income_total_row,"/1",
             IF(C32="/1",expenses_header_row,
                IF(C32&lt;expenses_max_row,C32+1,
                   IF(C32=expenses_max_row,expenses_total_row,
                      IF(C32=expenses_total_row,"/2",
                         IF(C32="/2",savings_header_row,
                            IF(C32&lt;savings_max_row,C32+1,
                               IF(C32=savings_max_row,savings_total_row,-1)))))))))))</f>
        <v>35</v>
      </c>
      <c r="D33" s="24">
        <f t="shared" si="0"/>
        <v>23</v>
      </c>
      <c r="E33" s="62" cm="1">
        <f t="array" ref="E33">1*OR(row_id=income_header_row,row_id=expenses_header_row,row_id=savings_header_row)</f>
        <v>0</v>
      </c>
      <c r="F33" s="24">
        <f t="shared" si="18"/>
        <v>1</v>
      </c>
      <c r="G33" s="24" cm="1">
        <f t="array" ref="G33">OR(row_id=income_total_row,row_id=expenses_total_row,row_id=savings_total_row)*1</f>
        <v>0</v>
      </c>
      <c r="H33" s="61">
        <f t="shared" si="1"/>
        <v>0</v>
      </c>
      <c r="I33" s="24" t="str" cm="1">
        <f t="array" ref="I33">IFERROR(INDEX('Budget Planning'!C:C,header_row_id),"")</f>
        <v>Expenses</v>
      </c>
      <c r="J33" s="24" t="str" cm="1">
        <f t="array" ref="J33">IFERROR(INDEX('Budget Planning'!C:C,row_id),"")</f>
        <v>Clothing</v>
      </c>
      <c r="K33" s="35" cm="1">
        <f t="array" aca="1" ref="K33"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33" s="24" cm="1">
        <f t="array" aca="1" ref="L33" ca="1">IF(OR(is_header,is_empty),"",
INDEX('Budget Planning'!$E:$CI,row_id,
MATCH(IF(selected_period="Total Year",selected_year,DATE(selected_year,selected_period,1)),'Budget Planning'!$E$9:$CI$9,0)))</f>
        <v>50</v>
      </c>
      <c r="M33" s="62" cm="1">
        <f t="array" ref="M33">IF(is_cat,
IF(header_row_id=income_header_row,MATCH(income_min_row,$C:$C,0),
   IF(header_row_id=expenses_header_row,MATCH(expenses_min_row,$C:$C,0),
      IF(header_row_id=savings_header_row,MATCH(savings_min_row,$C:$C,0),""))),"")</f>
        <v>22</v>
      </c>
      <c r="N33" s="24" cm="1">
        <f t="array" ref="N33">IF(is_cat,
IF(header_row_id=income_header_row,MATCH(income_max_row,$C:$C,0),
   IF(header_row_id=expenses_header_row,MATCH(expenses_max_row,$C:$C,0),
      IF(header_row_id=savings_header_row,MATCH(savings_max_row,$C:$C,0),""))),"")</f>
        <v>39</v>
      </c>
      <c r="O33" s="62" t="str">
        <f t="shared" si="2"/>
        <v>$K$22:$K$39</v>
      </c>
      <c r="P33" s="24">
        <f t="shared" ca="1" si="3"/>
        <v>14</v>
      </c>
      <c r="Q33" s="24" t="str">
        <f t="shared" si="4"/>
        <v>$L$22:$L$39</v>
      </c>
      <c r="R33" s="24">
        <f t="shared" ca="1" si="5"/>
        <v>15</v>
      </c>
      <c r="S33" s="62">
        <f t="shared" ca="1" si="6"/>
        <v>1415</v>
      </c>
      <c r="T33" s="24" t="str">
        <f t="shared" si="7"/>
        <v>$S$22:$S$39</v>
      </c>
      <c r="U33" s="24">
        <f t="shared" ca="1" si="8"/>
        <v>16</v>
      </c>
      <c r="V33" s="24" t="str">
        <f t="shared" si="9"/>
        <v>$U$22:$U$33</v>
      </c>
      <c r="W33" s="61">
        <f t="shared" ca="1" si="10"/>
        <v>16</v>
      </c>
      <c r="X33" s="67">
        <f t="shared" ca="1" si="11"/>
        <v>39</v>
      </c>
      <c r="Y33" s="68" t="str">
        <f t="shared" ca="1" si="12"/>
        <v>Media/Entertainment</v>
      </c>
      <c r="Z33" s="70">
        <f t="shared" ca="1" si="13"/>
        <v>67.44</v>
      </c>
      <c r="AA33" s="70">
        <f t="shared" ca="1" si="14"/>
        <v>70</v>
      </c>
      <c r="AB33" s="69">
        <f t="shared" ca="1" si="15"/>
        <v>0.96342857142857141</v>
      </c>
      <c r="AC33" s="70">
        <f t="shared" ca="1" si="16"/>
        <v>2.5600000000000023</v>
      </c>
      <c r="AD33" s="70">
        <f t="shared" ca="1" si="17"/>
        <v>0</v>
      </c>
    </row>
    <row r="34" spans="3:30" x14ac:dyDescent="0.25">
      <c r="C34" s="57" cm="1">
        <f t="array" ref="C34">IF(C33=-1,-1,
    IF(C33&lt;income_max_row,C33+1,
       IF(C33=income_max_row,income_total_row,
          IF(C33=income_total_row,"/1",
             IF(C33="/1",expenses_header_row,
                IF(C33&lt;expenses_max_row,C33+1,
                   IF(C33=expenses_max_row,expenses_total_row,
                      IF(C33=expenses_total_row,"/2",
                         IF(C33="/2",savings_header_row,
                            IF(C33&lt;savings_max_row,C33+1,
                               IF(C33=savings_max_row,savings_total_row,-1)))))))))))</f>
        <v>36</v>
      </c>
      <c r="D34" s="24">
        <f t="shared" si="0"/>
        <v>23</v>
      </c>
      <c r="E34" s="62" cm="1">
        <f t="array" ref="E34">1*OR(row_id=income_header_row,row_id=expenses_header_row,row_id=savings_header_row)</f>
        <v>0</v>
      </c>
      <c r="F34" s="24">
        <f t="shared" si="18"/>
        <v>1</v>
      </c>
      <c r="G34" s="24" cm="1">
        <f t="array" ref="G34">OR(row_id=income_total_row,row_id=expenses_total_row,row_id=savings_total_row)*1</f>
        <v>0</v>
      </c>
      <c r="H34" s="61">
        <f t="shared" si="1"/>
        <v>0</v>
      </c>
      <c r="I34" s="24" t="str" cm="1">
        <f t="array" ref="I34">IFERROR(INDEX('Budget Planning'!C:C,header_row_id),"")</f>
        <v>Expenses</v>
      </c>
      <c r="J34" s="24" t="str" cm="1">
        <f t="array" ref="J34">IFERROR(INDEX('Budget Planning'!C:C,row_id),"")</f>
        <v>Food</v>
      </c>
      <c r="K34" s="35" cm="1">
        <f t="array" aca="1" ref="K34"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429.33</v>
      </c>
      <c r="L34" s="24" cm="1">
        <f t="array" aca="1" ref="L34" ca="1">IF(OR(is_header,is_empty),"",
INDEX('Budget Planning'!$E:$CI,row_id,
MATCH(IF(selected_period="Total Year",selected_year,DATE(selected_year,selected_period,1)),'Budget Planning'!$E$9:$CI$9,0)))</f>
        <v>100</v>
      </c>
      <c r="M34" s="62" cm="1">
        <f t="array" ref="M34">IF(is_cat,
IF(header_row_id=income_header_row,MATCH(income_min_row,$C:$C,0),
   IF(header_row_id=expenses_header_row,MATCH(expenses_min_row,$C:$C,0),
      IF(header_row_id=savings_header_row,MATCH(savings_min_row,$C:$C,0),""))),"")</f>
        <v>22</v>
      </c>
      <c r="N34" s="24" cm="1">
        <f t="array" ref="N34">IF(is_cat,
IF(header_row_id=income_header_row,MATCH(income_max_row,$C:$C,0),
   IF(header_row_id=expenses_header_row,MATCH(expenses_max_row,$C:$C,0),
      IF(header_row_id=savings_header_row,MATCH(savings_max_row,$C:$C,0),""))),"")</f>
        <v>39</v>
      </c>
      <c r="O34" s="62" t="str">
        <f t="shared" si="2"/>
        <v>$K$22:$K$39</v>
      </c>
      <c r="P34" s="24">
        <f t="shared" ca="1" si="3"/>
        <v>3</v>
      </c>
      <c r="Q34" s="24" t="str">
        <f t="shared" si="4"/>
        <v>$L$22:$L$39</v>
      </c>
      <c r="R34" s="24">
        <f t="shared" ca="1" si="5"/>
        <v>12</v>
      </c>
      <c r="S34" s="62">
        <f t="shared" ca="1" si="6"/>
        <v>312</v>
      </c>
      <c r="T34" s="24" t="str">
        <f t="shared" si="7"/>
        <v>$S$22:$S$39</v>
      </c>
      <c r="U34" s="24">
        <f t="shared" ca="1" si="8"/>
        <v>10</v>
      </c>
      <c r="V34" s="24" t="str">
        <f t="shared" si="9"/>
        <v>$U$22:$U$34</v>
      </c>
      <c r="W34" s="61">
        <f t="shared" ca="1" si="10"/>
        <v>10</v>
      </c>
      <c r="X34" s="67">
        <f t="shared" ca="1" si="11"/>
        <v>33</v>
      </c>
      <c r="Y34" s="68" t="str">
        <f t="shared" ca="1" si="12"/>
        <v>Transportation</v>
      </c>
      <c r="Z34" s="70">
        <f t="shared" ca="1" si="13"/>
        <v>39.35</v>
      </c>
      <c r="AA34" s="70">
        <f t="shared" ca="1" si="14"/>
        <v>80</v>
      </c>
      <c r="AB34" s="69">
        <f t="shared" ca="1" si="15"/>
        <v>0.49187500000000001</v>
      </c>
      <c r="AC34" s="70">
        <f t="shared" ca="1" si="16"/>
        <v>40.65</v>
      </c>
      <c r="AD34" s="70">
        <f t="shared" ca="1" si="17"/>
        <v>0</v>
      </c>
    </row>
    <row r="35" spans="3:30" x14ac:dyDescent="0.25">
      <c r="C35" s="57" cm="1">
        <f t="array" ref="C35">IF(C34=-1,-1,
    IF(C34&lt;income_max_row,C34+1,
       IF(C34=income_max_row,income_total_row,
          IF(C34=income_total_row,"/1",
             IF(C34="/1",expenses_header_row,
                IF(C34&lt;expenses_max_row,C34+1,
                   IF(C34=expenses_max_row,expenses_total_row,
                      IF(C34=expenses_total_row,"/2",
                         IF(C34="/2",savings_header_row,
                            IF(C34&lt;savings_max_row,C34+1,
                               IF(C34=savings_max_row,savings_total_row,-1)))))))))))</f>
        <v>37</v>
      </c>
      <c r="D35" s="24">
        <f t="shared" si="0"/>
        <v>23</v>
      </c>
      <c r="E35" s="62" cm="1">
        <f t="array" ref="E35">1*OR(row_id=income_header_row,row_id=expenses_header_row,row_id=savings_header_row)</f>
        <v>0</v>
      </c>
      <c r="F35" s="24">
        <f t="shared" si="18"/>
        <v>1</v>
      </c>
      <c r="G35" s="24" cm="1">
        <f t="array" ref="G35">OR(row_id=income_total_row,row_id=expenses_total_row,row_id=savings_total_row)*1</f>
        <v>0</v>
      </c>
      <c r="H35" s="61">
        <f t="shared" si="1"/>
        <v>0</v>
      </c>
      <c r="I35" s="24" t="str" cm="1">
        <f t="array" ref="I35">IFERROR(INDEX('Budget Planning'!C:C,header_row_id),"")</f>
        <v>Expenses</v>
      </c>
      <c r="J35" s="24" t="str" cm="1">
        <f t="array" ref="J35">IFERROR(INDEX('Budget Planning'!C:C,row_id),"")</f>
        <v>Media/Entertainment</v>
      </c>
      <c r="K35" s="35" cm="1">
        <f t="array" aca="1" ref="K35"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67.44</v>
      </c>
      <c r="L35" s="24" cm="1">
        <f t="array" aca="1" ref="L35" ca="1">IF(OR(is_header,is_empty),"",
INDEX('Budget Planning'!$E:$CI,row_id,
MATCH(IF(selected_period="Total Year",selected_year,DATE(selected_year,selected_period,1)),'Budget Planning'!$E$9:$CI$9,0)))</f>
        <v>70</v>
      </c>
      <c r="M35" s="62" cm="1">
        <f t="array" ref="M35">IF(is_cat,
IF(header_row_id=income_header_row,MATCH(income_min_row,$C:$C,0),
   IF(header_row_id=expenses_header_row,MATCH(expenses_min_row,$C:$C,0),
      IF(header_row_id=savings_header_row,MATCH(savings_min_row,$C:$C,0),""))),"")</f>
        <v>22</v>
      </c>
      <c r="N35" s="24" cm="1">
        <f t="array" ref="N35">IF(is_cat,
IF(header_row_id=income_header_row,MATCH(income_max_row,$C:$C,0),
   IF(header_row_id=expenses_header_row,MATCH(expenses_max_row,$C:$C,0),
      IF(header_row_id=savings_header_row,MATCH(savings_max_row,$C:$C,0),""))),"")</f>
        <v>39</v>
      </c>
      <c r="O35" s="62" t="str">
        <f t="shared" si="2"/>
        <v>$K$22:$K$39</v>
      </c>
      <c r="P35" s="24">
        <f t="shared" ca="1" si="3"/>
        <v>10</v>
      </c>
      <c r="Q35" s="24" t="str">
        <f t="shared" si="4"/>
        <v>$L$22:$L$39</v>
      </c>
      <c r="R35" s="24">
        <f t="shared" ca="1" si="5"/>
        <v>14</v>
      </c>
      <c r="S35" s="62">
        <f t="shared" ca="1" si="6"/>
        <v>1014</v>
      </c>
      <c r="T35" s="24" t="str">
        <f t="shared" si="7"/>
        <v>$S$22:$S$39</v>
      </c>
      <c r="U35" s="24">
        <f t="shared" ca="1" si="8"/>
        <v>12</v>
      </c>
      <c r="V35" s="24" t="str">
        <f t="shared" si="9"/>
        <v>$U$22:$U$35</v>
      </c>
      <c r="W35" s="61">
        <f t="shared" ca="1" si="10"/>
        <v>12</v>
      </c>
      <c r="X35" s="67">
        <f t="shared" ca="1" si="11"/>
        <v>35</v>
      </c>
      <c r="Y35" s="68" t="str">
        <f t="shared" ca="1" si="12"/>
        <v>Charity</v>
      </c>
      <c r="Z35" s="70">
        <f t="shared" ca="1" si="13"/>
        <v>19.13</v>
      </c>
      <c r="AA35" s="70">
        <f t="shared" ca="1" si="14"/>
        <v>12.993</v>
      </c>
      <c r="AB35" s="69">
        <f t="shared" ca="1" si="15"/>
        <v>1.4723312552913106</v>
      </c>
      <c r="AC35" s="70">
        <f t="shared" ca="1" si="16"/>
        <v>0</v>
      </c>
      <c r="AD35" s="70">
        <f t="shared" ca="1" si="17"/>
        <v>6.1369999999999987</v>
      </c>
    </row>
    <row r="36" spans="3:30" x14ac:dyDescent="0.25">
      <c r="C36" s="57" cm="1">
        <f t="array" ref="C36">IF(C35=-1,-1,
    IF(C35&lt;income_max_row,C35+1,
       IF(C35=income_max_row,income_total_row,
          IF(C35=income_total_row,"/1",
             IF(C35="/1",expenses_header_row,
                IF(C35&lt;expenses_max_row,C35+1,
                   IF(C35=expenses_max_row,expenses_total_row,
                      IF(C35=expenses_total_row,"/2",
                         IF(C35="/2",savings_header_row,
                            IF(C35&lt;savings_max_row,C35+1,
                               IF(C35=savings_max_row,savings_total_row,-1)))))))))))</f>
        <v>38</v>
      </c>
      <c r="D36" s="24">
        <f t="shared" si="0"/>
        <v>23</v>
      </c>
      <c r="E36" s="62" cm="1">
        <f t="array" ref="E36">1*OR(row_id=income_header_row,row_id=expenses_header_row,row_id=savings_header_row)</f>
        <v>0</v>
      </c>
      <c r="F36" s="24">
        <f t="shared" si="18"/>
        <v>1</v>
      </c>
      <c r="G36" s="24" cm="1">
        <f t="array" ref="G36">OR(row_id=income_total_row,row_id=expenses_total_row,row_id=savings_total_row)*1</f>
        <v>0</v>
      </c>
      <c r="H36" s="61">
        <f t="shared" si="1"/>
        <v>0</v>
      </c>
      <c r="I36" s="24" t="str" cm="1">
        <f t="array" ref="I36">IFERROR(INDEX('Budget Planning'!C:C,header_row_id),"")</f>
        <v>Expenses</v>
      </c>
      <c r="J36" s="24" t="str" cm="1">
        <f t="array" ref="J36">IFERROR(INDEX('Budget Planning'!C:C,row_id),"")</f>
        <v xml:space="preserve">Fun/Activities </v>
      </c>
      <c r="K36" s="35" cm="1">
        <f t="array" aca="1" ref="K36"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123.9</v>
      </c>
      <c r="L36" s="24" cm="1">
        <f t="array" aca="1" ref="L36" ca="1">IF(OR(is_header,is_empty),"",
INDEX('Budget Planning'!$E:$CI,row_id,
MATCH(IF(selected_period="Total Year",selected_year,DATE(selected_year,selected_period,1)),'Budget Planning'!$E$9:$CI$9,0)))</f>
        <v>549.35</v>
      </c>
      <c r="M36" s="62" cm="1">
        <f t="array" ref="M36">IF(is_cat,
IF(header_row_id=income_header_row,MATCH(income_min_row,$C:$C,0),
   IF(header_row_id=expenses_header_row,MATCH(expenses_min_row,$C:$C,0),
      IF(header_row_id=savings_header_row,MATCH(savings_min_row,$C:$C,0),""))),"")</f>
        <v>22</v>
      </c>
      <c r="N36" s="24" cm="1">
        <f t="array" ref="N36">IF(is_cat,
IF(header_row_id=income_header_row,MATCH(income_max_row,$C:$C,0),
   IF(header_row_id=expenses_header_row,MATCH(expenses_max_row,$C:$C,0),
      IF(header_row_id=savings_header_row,MATCH(savings_max_row,$C:$C,0),""))),"")</f>
        <v>39</v>
      </c>
      <c r="O36" s="62" t="str">
        <f t="shared" si="2"/>
        <v>$K$22:$K$39</v>
      </c>
      <c r="P36" s="24">
        <f t="shared" ca="1" si="3"/>
        <v>7</v>
      </c>
      <c r="Q36" s="24" t="str">
        <f t="shared" si="4"/>
        <v>$L$22:$L$39</v>
      </c>
      <c r="R36" s="24">
        <f t="shared" ca="1" si="5"/>
        <v>3</v>
      </c>
      <c r="S36" s="62">
        <f t="shared" ca="1" si="6"/>
        <v>73</v>
      </c>
      <c r="T36" s="24" t="str">
        <f t="shared" si="7"/>
        <v>$S$22:$S$39</v>
      </c>
      <c r="U36" s="24">
        <f t="shared" ca="1" si="8"/>
        <v>6</v>
      </c>
      <c r="V36" s="24" t="str">
        <f t="shared" si="9"/>
        <v>$U$22:$U$36</v>
      </c>
      <c r="W36" s="61">
        <f t="shared" ca="1" si="10"/>
        <v>6</v>
      </c>
      <c r="X36" s="67">
        <f t="shared" ca="1" si="11"/>
        <v>29</v>
      </c>
      <c r="Y36" s="68" t="str">
        <f t="shared" ca="1" si="12"/>
        <v>Car Warranty</v>
      </c>
      <c r="Z36" s="70">
        <f t="shared" ca="1" si="13"/>
        <v>0</v>
      </c>
      <c r="AA36" s="70">
        <f t="shared" ca="1" si="14"/>
        <v>151.66999999999999</v>
      </c>
      <c r="AB36" s="69">
        <f t="shared" ca="1" si="15"/>
        <v>0</v>
      </c>
      <c r="AC36" s="70">
        <f t="shared" ca="1" si="16"/>
        <v>151.66999999999999</v>
      </c>
      <c r="AD36" s="70">
        <f t="shared" ca="1" si="17"/>
        <v>0</v>
      </c>
    </row>
    <row r="37" spans="3:30" x14ac:dyDescent="0.25">
      <c r="C37" s="57" cm="1">
        <f t="array" ref="C37">IF(C36=-1,-1,
    IF(C36&lt;income_max_row,C36+1,
       IF(C36=income_max_row,income_total_row,
          IF(C36=income_total_row,"/1",
             IF(C36="/1",expenses_header_row,
                IF(C36&lt;expenses_max_row,C36+1,
                   IF(C36=expenses_max_row,expenses_total_row,
                      IF(C36=expenses_total_row,"/2",
                         IF(C36="/2",savings_header_row,
                            IF(C36&lt;savings_max_row,C36+1,
                               IF(C36=savings_max_row,savings_total_row,-1)))))))))))</f>
        <v>39</v>
      </c>
      <c r="D37" s="24">
        <f t="shared" si="0"/>
        <v>23</v>
      </c>
      <c r="E37" s="62" cm="1">
        <f t="array" ref="E37">1*OR(row_id=income_header_row,row_id=expenses_header_row,row_id=savings_header_row)</f>
        <v>0</v>
      </c>
      <c r="F37" s="24">
        <f t="shared" si="18"/>
        <v>1</v>
      </c>
      <c r="G37" s="24" cm="1">
        <f t="array" ref="G37">OR(row_id=income_total_row,row_id=expenses_total_row,row_id=savings_total_row)*1</f>
        <v>0</v>
      </c>
      <c r="H37" s="61">
        <f t="shared" si="1"/>
        <v>0</v>
      </c>
      <c r="I37" s="24" t="str" cm="1">
        <f t="array" ref="I37">IFERROR(INDEX('Budget Planning'!C:C,header_row_id),"")</f>
        <v>Expenses</v>
      </c>
      <c r="J37" s="24" t="str" cm="1">
        <f t="array" ref="J37">IFERROR(INDEX('Budget Planning'!C:C,row_id),"")</f>
        <v>Body Care &amp; Medicine</v>
      </c>
      <c r="K37" s="35" cm="1">
        <f t="array" aca="1" ref="K37"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37" s="24" cm="1">
        <f t="array" aca="1" ref="L37" ca="1">IF(OR(is_header,is_empty),"",
INDEX('Budget Planning'!$E:$CI,row_id,
MATCH(IF(selected_period="Total Year",selected_year,DATE(selected_year,selected_period,1)),'Budget Planning'!$E$9:$CI$9,0)))</f>
        <v>30</v>
      </c>
      <c r="M37" s="62" cm="1">
        <f t="array" ref="M37">IF(is_cat,
IF(header_row_id=income_header_row,MATCH(income_min_row,$C:$C,0),
   IF(header_row_id=expenses_header_row,MATCH(expenses_min_row,$C:$C,0),
      IF(header_row_id=savings_header_row,MATCH(savings_min_row,$C:$C,0),""))),"")</f>
        <v>22</v>
      </c>
      <c r="N37" s="24" cm="1">
        <f t="array" ref="N37">IF(is_cat,
IF(header_row_id=income_header_row,MATCH(income_max_row,$C:$C,0),
   IF(header_row_id=expenses_header_row,MATCH(expenses_max_row,$C:$C,0),
      IF(header_row_id=savings_header_row,MATCH(savings_max_row,$C:$C,0),""))),"")</f>
        <v>39</v>
      </c>
      <c r="O37" s="62" t="str">
        <f t="shared" si="2"/>
        <v>$K$22:$K$39</v>
      </c>
      <c r="P37" s="24">
        <f t="shared" ca="1" si="3"/>
        <v>14</v>
      </c>
      <c r="Q37" s="24" t="str">
        <f t="shared" si="4"/>
        <v>$L$22:$L$39</v>
      </c>
      <c r="R37" s="24">
        <f t="shared" ca="1" si="5"/>
        <v>16</v>
      </c>
      <c r="S37" s="62">
        <f t="shared" ca="1" si="6"/>
        <v>1416</v>
      </c>
      <c r="T37" s="24" t="str">
        <f t="shared" si="7"/>
        <v>$S$22:$S$39</v>
      </c>
      <c r="U37" s="24">
        <f t="shared" ca="1" si="8"/>
        <v>17</v>
      </c>
      <c r="V37" s="24" t="str">
        <f t="shared" si="9"/>
        <v>$U$22:$U$37</v>
      </c>
      <c r="W37" s="61">
        <f t="shared" ca="1" si="10"/>
        <v>17</v>
      </c>
      <c r="X37" s="67">
        <f t="shared" ca="1" si="11"/>
        <v>40</v>
      </c>
      <c r="Y37" s="68" t="str">
        <f t="shared" ca="1" si="12"/>
        <v>Clothing</v>
      </c>
      <c r="Z37" s="70">
        <f t="shared" ca="1" si="13"/>
        <v>0</v>
      </c>
      <c r="AA37" s="70">
        <f t="shared" ca="1" si="14"/>
        <v>50</v>
      </c>
      <c r="AB37" s="69">
        <f t="shared" ca="1" si="15"/>
        <v>0</v>
      </c>
      <c r="AC37" s="70">
        <f t="shared" ca="1" si="16"/>
        <v>50</v>
      </c>
      <c r="AD37" s="70">
        <f t="shared" ca="1" si="17"/>
        <v>0</v>
      </c>
    </row>
    <row r="38" spans="3:30" x14ac:dyDescent="0.25">
      <c r="C38" s="57" cm="1">
        <f t="array" ref="C38">IF(C37=-1,-1,
    IF(C37&lt;income_max_row,C37+1,
       IF(C37=income_max_row,income_total_row,
          IF(C37=income_total_row,"/1",
             IF(C37="/1",expenses_header_row,
                IF(C37&lt;expenses_max_row,C37+1,
                   IF(C37=expenses_max_row,expenses_total_row,
                      IF(C37=expenses_total_row,"/2",
                         IF(C37="/2",savings_header_row,
                            IF(C37&lt;savings_max_row,C37+1,
                               IF(C37=savings_max_row,savings_total_row,-1)))))))))))</f>
        <v>40</v>
      </c>
      <c r="D38" s="24">
        <f t="shared" si="0"/>
        <v>23</v>
      </c>
      <c r="E38" s="62" cm="1">
        <f t="array" ref="E38">1*OR(row_id=income_header_row,row_id=expenses_header_row,row_id=savings_header_row)</f>
        <v>0</v>
      </c>
      <c r="F38" s="24">
        <f t="shared" si="18"/>
        <v>1</v>
      </c>
      <c r="G38" s="24" cm="1">
        <f t="array" ref="G38">OR(row_id=income_total_row,row_id=expenses_total_row,row_id=savings_total_row)*1</f>
        <v>0</v>
      </c>
      <c r="H38" s="61">
        <f t="shared" si="1"/>
        <v>0</v>
      </c>
      <c r="I38" s="24" t="str" cm="1">
        <f t="array" ref="I38">IFERROR(INDEX('Budget Planning'!C:C,header_row_id),"")</f>
        <v>Expenses</v>
      </c>
      <c r="J38" s="24" t="str" cm="1">
        <f t="array" ref="J38">IFERROR(INDEX('Budget Planning'!C:C,row_id),"")</f>
        <v>Gifts</v>
      </c>
      <c r="K38" s="35" cm="1">
        <f t="array" aca="1" ref="K38"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250</v>
      </c>
      <c r="L38" s="24" cm="1">
        <f t="array" aca="1" ref="L38" ca="1">IF(OR(is_header,is_empty),"",
INDEX('Budget Planning'!$E:$CI,row_id,
MATCH(IF(selected_period="Total Year",selected_year,DATE(selected_year,selected_period,1)),'Budget Planning'!$E$9:$CI$9,0)))</f>
        <v>200</v>
      </c>
      <c r="M38" s="62" cm="1">
        <f t="array" ref="M38">IF(is_cat,
IF(header_row_id=income_header_row,MATCH(income_min_row,$C:$C,0),
   IF(header_row_id=expenses_header_row,MATCH(expenses_min_row,$C:$C,0),
      IF(header_row_id=savings_header_row,MATCH(savings_min_row,$C:$C,0),""))),"")</f>
        <v>22</v>
      </c>
      <c r="N38" s="24" cm="1">
        <f t="array" ref="N38">IF(is_cat,
IF(header_row_id=income_header_row,MATCH(income_max_row,$C:$C,0),
   IF(header_row_id=expenses_header_row,MATCH(expenses_max_row,$C:$C,0),
      IF(header_row_id=savings_header_row,MATCH(savings_max_row,$C:$C,0),""))),"")</f>
        <v>39</v>
      </c>
      <c r="O38" s="62" t="str">
        <f t="shared" si="2"/>
        <v>$K$22:$K$39</v>
      </c>
      <c r="P38" s="24">
        <f t="shared" ca="1" si="3"/>
        <v>5</v>
      </c>
      <c r="Q38" s="24" t="str">
        <f t="shared" si="4"/>
        <v>$L$22:$L$39</v>
      </c>
      <c r="R38" s="24">
        <f t="shared" ca="1" si="5"/>
        <v>8</v>
      </c>
      <c r="S38" s="62">
        <f t="shared" ca="1" si="6"/>
        <v>58</v>
      </c>
      <c r="T38" s="24" t="str">
        <f t="shared" si="7"/>
        <v>$S$22:$S$39</v>
      </c>
      <c r="U38" s="24">
        <f t="shared" ca="1" si="8"/>
        <v>4</v>
      </c>
      <c r="V38" s="24" t="str">
        <f t="shared" si="9"/>
        <v>$U$22:$U$38</v>
      </c>
      <c r="W38" s="61">
        <f t="shared" ca="1" si="10"/>
        <v>4</v>
      </c>
      <c r="X38" s="67">
        <f t="shared" ca="1" si="11"/>
        <v>27</v>
      </c>
      <c r="Y38" s="68" t="str">
        <f t="shared" ca="1" si="12"/>
        <v>Body Care &amp; Medicine</v>
      </c>
      <c r="Z38" s="70">
        <f t="shared" ca="1" si="13"/>
        <v>0</v>
      </c>
      <c r="AA38" s="70">
        <f t="shared" ca="1" si="14"/>
        <v>30</v>
      </c>
      <c r="AB38" s="69">
        <f t="shared" ca="1" si="15"/>
        <v>0</v>
      </c>
      <c r="AC38" s="70">
        <f t="shared" ca="1" si="16"/>
        <v>30</v>
      </c>
      <c r="AD38" s="70">
        <f t="shared" ca="1" si="17"/>
        <v>0</v>
      </c>
    </row>
    <row r="39" spans="3:30" x14ac:dyDescent="0.25">
      <c r="C39" s="57" cm="1">
        <f t="array" ref="C39">IF(C38=-1,-1,
    IF(C38&lt;income_max_row,C38+1,
       IF(C38=income_max_row,income_total_row,
          IF(C38=income_total_row,"/1",
             IF(C38="/1",expenses_header_row,
                IF(C38&lt;expenses_max_row,C38+1,
                   IF(C38=expenses_max_row,expenses_total_row,
                      IF(C38=expenses_total_row,"/2",
                         IF(C38="/2",savings_header_row,
                            IF(C38&lt;savings_max_row,C38+1,
                               IF(C38=savings_max_row,savings_total_row,-1)))))))))))</f>
        <v>41</v>
      </c>
      <c r="D39" s="24">
        <f t="shared" si="0"/>
        <v>23</v>
      </c>
      <c r="E39" s="62" cm="1">
        <f t="array" ref="E39">1*OR(row_id=income_header_row,row_id=expenses_header_row,row_id=savings_header_row)</f>
        <v>0</v>
      </c>
      <c r="F39" s="24">
        <f t="shared" si="18"/>
        <v>1</v>
      </c>
      <c r="G39" s="24" cm="1">
        <f t="array" ref="G39">OR(row_id=income_total_row,row_id=expenses_total_row,row_id=savings_total_row)*1</f>
        <v>0</v>
      </c>
      <c r="H39" s="61">
        <f t="shared" si="1"/>
        <v>0</v>
      </c>
      <c r="I39" s="24" t="str" cm="1">
        <f t="array" ref="I39">IFERROR(INDEX('Budget Planning'!C:C,header_row_id),"")</f>
        <v>Expenses</v>
      </c>
      <c r="J39" s="24" t="str" cm="1">
        <f t="array" ref="J39">IFERROR(INDEX('Budget Planning'!C:C,row_id),"")</f>
        <v>Charity</v>
      </c>
      <c r="K39" s="35" cm="1">
        <f t="array" aca="1" ref="K39"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19.13</v>
      </c>
      <c r="L39" s="24" cm="1">
        <f t="array" aca="1" ref="L39" ca="1">IF(OR(is_header,is_empty),"",
INDEX('Budget Planning'!$E:$CI,row_id,
MATCH(IF(selected_period="Total Year",selected_year,DATE(selected_year,selected_period,1)),'Budget Planning'!$E$9:$CI$9,0)))</f>
        <v>12.993</v>
      </c>
      <c r="M39" s="62" cm="1">
        <f t="array" ref="M39">IF(is_cat,
IF(header_row_id=income_header_row,MATCH(income_min_row,$C:$C,0),
   IF(header_row_id=expenses_header_row,MATCH(expenses_min_row,$C:$C,0),
      IF(header_row_id=savings_header_row,MATCH(savings_min_row,$C:$C,0),""))),"")</f>
        <v>22</v>
      </c>
      <c r="N39" s="24" cm="1">
        <f t="array" ref="N39">IF(is_cat,
IF(header_row_id=income_header_row,MATCH(income_max_row,$C:$C,0),
   IF(header_row_id=expenses_header_row,MATCH(expenses_max_row,$C:$C,0),
      IF(header_row_id=savings_header_row,MATCH(savings_max_row,$C:$C,0),""))),"")</f>
        <v>39</v>
      </c>
      <c r="O39" s="62" t="str">
        <f t="shared" si="2"/>
        <v>$K$22:$K$39</v>
      </c>
      <c r="P39" s="24">
        <f t="shared" ca="1" si="3"/>
        <v>13</v>
      </c>
      <c r="Q39" s="24" t="str">
        <f t="shared" si="4"/>
        <v>$L$22:$L$39</v>
      </c>
      <c r="R39" s="24">
        <f t="shared" ca="1" si="5"/>
        <v>17</v>
      </c>
      <c r="S39" s="62">
        <f t="shared" ca="1" si="6"/>
        <v>1317</v>
      </c>
      <c r="T39" s="24" t="str">
        <f t="shared" si="7"/>
        <v>$S$22:$S$39</v>
      </c>
      <c r="U39" s="24">
        <f t="shared" ca="1" si="8"/>
        <v>14</v>
      </c>
      <c r="V39" s="24" t="str">
        <f t="shared" si="9"/>
        <v>$U$22:$U$39</v>
      </c>
      <c r="W39" s="61">
        <f t="shared" ca="1" si="10"/>
        <v>14</v>
      </c>
      <c r="X39" s="67">
        <f t="shared" ca="1" si="11"/>
        <v>37</v>
      </c>
      <c r="Y39" s="68" t="str">
        <f t="shared" ca="1" si="12"/>
        <v>Medical</v>
      </c>
      <c r="Z39" s="70">
        <f t="shared" ca="1" si="13"/>
        <v>0</v>
      </c>
      <c r="AA39" s="70">
        <f t="shared" ca="1" si="14"/>
        <v>0</v>
      </c>
      <c r="AB39" s="69" t="str">
        <f t="shared" ca="1" si="15"/>
        <v>-</v>
      </c>
      <c r="AC39" s="70">
        <f t="shared" ca="1" si="16"/>
        <v>0</v>
      </c>
      <c r="AD39" s="70">
        <f t="shared" ca="1" si="17"/>
        <v>0</v>
      </c>
    </row>
    <row r="40" spans="3:30" x14ac:dyDescent="0.25">
      <c r="C40" s="57" cm="1">
        <f t="array" ref="C40">IF(C39=-1,-1,
    IF(C39&lt;income_max_row,C39+1,
       IF(C39=income_max_row,income_total_row,
          IF(C39=income_total_row,"/1",
             IF(C39="/1",expenses_header_row,
                IF(C39&lt;expenses_max_row,C39+1,
                   IF(C39=expenses_max_row,expenses_total_row,
                      IF(C39=expenses_total_row,"/2",
                         IF(C39="/2",savings_header_row,
                            IF(C39&lt;savings_max_row,C39+1,
                               IF(C39=savings_max_row,savings_total_row,-1)))))))))))</f>
        <v>43</v>
      </c>
      <c r="D40" s="24">
        <f t="shared" si="0"/>
        <v>23</v>
      </c>
      <c r="E40" s="62" cm="1">
        <f t="array" ref="E40">1*OR(row_id=income_header_row,row_id=expenses_header_row,row_id=savings_header_row)</f>
        <v>0</v>
      </c>
      <c r="F40" s="24">
        <f t="shared" si="18"/>
        <v>0</v>
      </c>
      <c r="G40" s="24" cm="1">
        <f t="array" ref="G40">OR(row_id=income_total_row,row_id=expenses_total_row,row_id=savings_total_row)*1</f>
        <v>1</v>
      </c>
      <c r="H40" s="61">
        <f t="shared" si="1"/>
        <v>0</v>
      </c>
      <c r="I40" s="24" t="str" cm="1">
        <f t="array" ref="I40">IFERROR(INDEX('Budget Planning'!C:C,header_row_id),"")</f>
        <v>Expenses</v>
      </c>
      <c r="J40" s="24" t="str" cm="1">
        <f t="array" ref="J40">IFERROR(INDEX('Budget Planning'!C:C,row_id),"")</f>
        <v xml:space="preserve">Total </v>
      </c>
      <c r="K40" s="35" cm="1">
        <f t="array" aca="1" ref="K40"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3881.7499999999982</v>
      </c>
      <c r="L40" s="24" cm="1">
        <f t="array" aca="1" ref="L40" ca="1">IF(OR(is_header,is_empty),"",
INDEX('Budget Planning'!$E:$CI,row_id,
MATCH(IF(selected_period="Total Year",selected_year,DATE(selected_year,selected_period,1)),'Budget Planning'!$E$9:$CI$9,0)))</f>
        <v>4829.1730000000007</v>
      </c>
      <c r="M40" s="62" t="str" cm="1">
        <f t="array" ref="M40">IF(is_cat,
IF(header_row_id=income_header_row,MATCH(income_min_row,$C:$C,0),
   IF(header_row_id=expenses_header_row,MATCH(expenses_min_row,$C:$C,0),
      IF(header_row_id=savings_header_row,MATCH(savings_min_row,$C:$C,0),""))),"")</f>
        <v/>
      </c>
      <c r="N40" s="24" t="str" cm="1">
        <f t="array" ref="N40">IF(is_cat,
IF(header_row_id=income_header_row,MATCH(income_max_row,$C:$C,0),
   IF(header_row_id=expenses_header_row,MATCH(expenses_max_row,$C:$C,0),
      IF(header_row_id=savings_header_row,MATCH(savings_max_row,$C:$C,0),""))),"")</f>
        <v/>
      </c>
      <c r="O40" s="62" t="str">
        <f t="shared" si="2"/>
        <v/>
      </c>
      <c r="P40" s="24" t="str">
        <f t="shared" ca="1" si="3"/>
        <v/>
      </c>
      <c r="Q40" s="24" t="str">
        <f t="shared" si="4"/>
        <v/>
      </c>
      <c r="R40" s="24" t="str">
        <f t="shared" ca="1" si="5"/>
        <v/>
      </c>
      <c r="S40" s="62" t="str">
        <f t="shared" si="6"/>
        <v/>
      </c>
      <c r="T40" s="24" t="str">
        <f t="shared" si="7"/>
        <v/>
      </c>
      <c r="U40" s="24" t="str">
        <f t="shared" ca="1" si="8"/>
        <v/>
      </c>
      <c r="V40" s="24" t="str">
        <f t="shared" si="9"/>
        <v/>
      </c>
      <c r="W40" s="61" t="str">
        <f t="shared" ca="1" si="10"/>
        <v/>
      </c>
      <c r="X40" s="67">
        <f t="shared" si="11"/>
        <v>43</v>
      </c>
      <c r="Y40" s="68" t="str">
        <f t="shared" ca="1" si="12"/>
        <v xml:space="preserve">Total </v>
      </c>
      <c r="Z40" s="70">
        <f t="shared" ca="1" si="13"/>
        <v>3881.7499999999982</v>
      </c>
      <c r="AA40" s="70">
        <f t="shared" ca="1" si="14"/>
        <v>4829.1730000000007</v>
      </c>
      <c r="AB40" s="69">
        <f t="shared" ca="1" si="15"/>
        <v>0.80381257826132912</v>
      </c>
      <c r="AC40" s="70">
        <f t="shared" ca="1" si="16"/>
        <v>947.4230000000025</v>
      </c>
      <c r="AD40" s="70">
        <f t="shared" ca="1" si="17"/>
        <v>0</v>
      </c>
    </row>
    <row r="41" spans="3:30" x14ac:dyDescent="0.25">
      <c r="C41" s="57" t="str" cm="1">
        <f t="array" ref="C41">IF(C40=-1,-1,
    IF(C40&lt;income_max_row,C40+1,
       IF(C40=income_max_row,income_total_row,
          IF(C40=income_total_row,"/1",
             IF(C40="/1",expenses_header_row,
                IF(C40&lt;expenses_max_row,C40+1,
                   IF(C40=expenses_max_row,expenses_total_row,
                      IF(C40=expenses_total_row,"/2",
                         IF(C40="/2",savings_header_row,
                            IF(C40&lt;savings_max_row,C40+1,
                               IF(C40=savings_max_row,savings_total_row,-1)))))))))))</f>
        <v>/2</v>
      </c>
      <c r="D41" s="24">
        <f t="shared" si="0"/>
        <v>-1</v>
      </c>
      <c r="E41" s="62" cm="1">
        <f t="array" ref="E41">1*OR(row_id=income_header_row,row_id=expenses_header_row,row_id=savings_header_row)</f>
        <v>0</v>
      </c>
      <c r="F41" s="24">
        <f t="shared" si="18"/>
        <v>0</v>
      </c>
      <c r="G41" s="24" cm="1">
        <f t="array" ref="G41">OR(row_id=income_total_row,row_id=expenses_total_row,row_id=savings_total_row)*1</f>
        <v>0</v>
      </c>
      <c r="H41" s="61">
        <f t="shared" si="1"/>
        <v>1</v>
      </c>
      <c r="I41" s="24" t="str" cm="1">
        <f t="array" ref="I41">IFERROR(INDEX('Budget Planning'!C:C,header_row_id),"")</f>
        <v/>
      </c>
      <c r="J41" s="24" t="str" cm="1">
        <f t="array" ref="J41">IFERROR(INDEX('Budget Planning'!C:C,row_id),"")</f>
        <v/>
      </c>
      <c r="K41" s="35" t="str" cm="1">
        <f t="array" ref="K4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41" s="24" t="str" cm="1">
        <f t="array" ref="L41">IF(OR(is_header,is_empty),"",
INDEX('Budget Planning'!$E:$CI,row_id,
MATCH(IF(selected_period="Total Year",selected_year,DATE(selected_year,selected_period,1)),'Budget Planning'!$E$9:$CI$9,0)))</f>
        <v/>
      </c>
      <c r="M41" s="62" t="str" cm="1">
        <f t="array" ref="M41">IF(is_cat,
IF(header_row_id=income_header_row,MATCH(income_min_row,$C:$C,0),
   IF(header_row_id=expenses_header_row,MATCH(expenses_min_row,$C:$C,0),
      IF(header_row_id=savings_header_row,MATCH(savings_min_row,$C:$C,0),""))),"")</f>
        <v/>
      </c>
      <c r="N41" s="24" t="str" cm="1">
        <f t="array" ref="N41">IF(is_cat,
IF(header_row_id=income_header_row,MATCH(income_max_row,$C:$C,0),
   IF(header_row_id=expenses_header_row,MATCH(expenses_max_row,$C:$C,0),
      IF(header_row_id=savings_header_row,MATCH(savings_max_row,$C:$C,0),""))),"")</f>
        <v/>
      </c>
      <c r="O41" s="62" t="str">
        <f t="shared" si="2"/>
        <v/>
      </c>
      <c r="P41" s="24" t="str">
        <f t="shared" ca="1" si="3"/>
        <v/>
      </c>
      <c r="Q41" s="24" t="str">
        <f t="shared" si="4"/>
        <v/>
      </c>
      <c r="R41" s="24" t="str">
        <f t="shared" ca="1" si="5"/>
        <v/>
      </c>
      <c r="S41" s="62" t="str">
        <f t="shared" si="6"/>
        <v/>
      </c>
      <c r="T41" s="24" t="str">
        <f t="shared" si="7"/>
        <v/>
      </c>
      <c r="U41" s="24" t="str">
        <f t="shared" ca="1" si="8"/>
        <v/>
      </c>
      <c r="V41" s="24" t="str">
        <f t="shared" si="9"/>
        <v/>
      </c>
      <c r="W41" s="61" t="str">
        <f t="shared" ca="1" si="10"/>
        <v/>
      </c>
      <c r="X41" s="67" t="str">
        <f t="shared" si="11"/>
        <v>/2</v>
      </c>
      <c r="Y41" s="68" t="str">
        <f t="shared" si="12"/>
        <v/>
      </c>
      <c r="Z41" s="70" t="str">
        <f t="shared" si="13"/>
        <v/>
      </c>
      <c r="AA41" s="70" t="str">
        <f t="shared" si="14"/>
        <v/>
      </c>
      <c r="AB41" s="69" t="str">
        <f t="shared" si="15"/>
        <v/>
      </c>
      <c r="AC41" s="70" t="str">
        <f t="shared" si="16"/>
        <v/>
      </c>
      <c r="AD41" s="70" t="str">
        <f t="shared" si="17"/>
        <v/>
      </c>
    </row>
    <row r="42" spans="3:30" x14ac:dyDescent="0.25">
      <c r="C42" s="57" cm="1">
        <f t="array" ref="C42">IF(C41=-1,-1,
    IF(C41&lt;income_max_row,C41+1,
       IF(C41=income_max_row,income_total_row,
          IF(C41=income_total_row,"/1",
             IF(C41="/1",expenses_header_row,
                IF(C41&lt;expenses_max_row,C41+1,
                   IF(C41=expenses_max_row,expenses_total_row,
                      IF(C41=expenses_total_row,"/2",
                         IF(C41="/2",savings_header_row,
                            IF(C41&lt;savings_max_row,C41+1,
                               IF(C41=savings_max_row,savings_total_row,-1)))))))))))</f>
        <v>45</v>
      </c>
      <c r="D42" s="24">
        <f t="shared" si="0"/>
        <v>45</v>
      </c>
      <c r="E42" s="62" cm="1">
        <f t="array" ref="E42">1*OR(row_id=income_header_row,row_id=expenses_header_row,row_id=savings_header_row)</f>
        <v>1</v>
      </c>
      <c r="F42" s="24">
        <f t="shared" si="18"/>
        <v>0</v>
      </c>
      <c r="G42" s="24" cm="1">
        <f t="array" ref="G42">OR(row_id=income_total_row,row_id=expenses_total_row,row_id=savings_total_row)*1</f>
        <v>0</v>
      </c>
      <c r="H42" s="61">
        <f t="shared" si="1"/>
        <v>0</v>
      </c>
      <c r="I42" s="24" t="str" cm="1">
        <f t="array" ref="I42">IFERROR(INDEX('Budget Planning'!C:C,header_row_id),"")</f>
        <v>Savings</v>
      </c>
      <c r="J42" s="24" t="str" cm="1">
        <f t="array" ref="J42">IFERROR(INDEX('Budget Planning'!C:C,row_id),"")</f>
        <v>Savings</v>
      </c>
      <c r="K42" s="35" t="str" cm="1">
        <f t="array" ref="K42">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42" s="24" t="str" cm="1">
        <f t="array" ref="L42">IF(OR(is_header,is_empty),"",
INDEX('Budget Planning'!$E:$CI,row_id,
MATCH(IF(selected_period="Total Year",selected_year,DATE(selected_year,selected_period,1)),'Budget Planning'!$E$9:$CI$9,0)))</f>
        <v/>
      </c>
      <c r="M42" s="62" t="str" cm="1">
        <f t="array" ref="M42">IF(is_cat,
IF(header_row_id=income_header_row,MATCH(income_min_row,$C:$C,0),
   IF(header_row_id=expenses_header_row,MATCH(expenses_min_row,$C:$C,0),
      IF(header_row_id=savings_header_row,MATCH(savings_min_row,$C:$C,0),""))),"")</f>
        <v/>
      </c>
      <c r="N42" s="24" t="str" cm="1">
        <f t="array" ref="N42">IF(is_cat,
IF(header_row_id=income_header_row,MATCH(income_max_row,$C:$C,0),
   IF(header_row_id=expenses_header_row,MATCH(expenses_max_row,$C:$C,0),
      IF(header_row_id=savings_header_row,MATCH(savings_max_row,$C:$C,0),""))),"")</f>
        <v/>
      </c>
      <c r="O42" s="62" t="str">
        <f t="shared" si="2"/>
        <v/>
      </c>
      <c r="P42" s="24" t="str">
        <f t="shared" ca="1" si="3"/>
        <v/>
      </c>
      <c r="Q42" s="24" t="str">
        <f t="shared" si="4"/>
        <v/>
      </c>
      <c r="R42" s="24" t="str">
        <f t="shared" ca="1" si="5"/>
        <v/>
      </c>
      <c r="S42" s="62" t="str">
        <f t="shared" si="6"/>
        <v/>
      </c>
      <c r="T42" s="24" t="str">
        <f t="shared" si="7"/>
        <v/>
      </c>
      <c r="U42" s="24" t="str">
        <f t="shared" ca="1" si="8"/>
        <v/>
      </c>
      <c r="V42" s="24" t="str">
        <f t="shared" si="9"/>
        <v/>
      </c>
      <c r="W42" s="61" t="str">
        <f t="shared" ca="1" si="10"/>
        <v/>
      </c>
      <c r="X42" s="67">
        <f t="shared" si="11"/>
        <v>45</v>
      </c>
      <c r="Y42" s="68" t="str">
        <f t="shared" ca="1" si="12"/>
        <v>Savings</v>
      </c>
      <c r="Z42" s="70" t="str">
        <f t="shared" si="13"/>
        <v>Tracked</v>
      </c>
      <c r="AA42" s="70" t="str">
        <f t="shared" si="14"/>
        <v>Budget</v>
      </c>
      <c r="AB42" s="69" t="str">
        <f t="shared" si="15"/>
        <v>% Compl</v>
      </c>
      <c r="AC42" s="70" t="str">
        <f t="shared" si="16"/>
        <v>Remaining</v>
      </c>
      <c r="AD42" s="70" t="str">
        <f t="shared" si="17"/>
        <v>Excess</v>
      </c>
    </row>
    <row r="43" spans="3:30" x14ac:dyDescent="0.25">
      <c r="C43" s="57" cm="1">
        <f t="array" ref="C43">IF(C42=-1,-1,
    IF(C42&lt;income_max_row,C42+1,
       IF(C42=income_max_row,income_total_row,
          IF(C42=income_total_row,"/1",
             IF(C42="/1",expenses_header_row,
                IF(C42&lt;expenses_max_row,C42+1,
                   IF(C42=expenses_max_row,expenses_total_row,
                      IF(C42=expenses_total_row,"/2",
                         IF(C42="/2",savings_header_row,
                            IF(C42&lt;savings_max_row,C42+1,
                               IF(C42=savings_max_row,savings_total_row,-1)))))))))))</f>
        <v>46</v>
      </c>
      <c r="D43" s="24">
        <f t="shared" si="0"/>
        <v>45</v>
      </c>
      <c r="E43" s="62" cm="1">
        <f t="array" ref="E43">1*OR(row_id=income_header_row,row_id=expenses_header_row,row_id=savings_header_row)</f>
        <v>0</v>
      </c>
      <c r="F43" s="24">
        <f t="shared" si="18"/>
        <v>1</v>
      </c>
      <c r="G43" s="24" cm="1">
        <f t="array" ref="G43">OR(row_id=income_total_row,row_id=expenses_total_row,row_id=savings_total_row)*1</f>
        <v>0</v>
      </c>
      <c r="H43" s="61">
        <f t="shared" si="1"/>
        <v>0</v>
      </c>
      <c r="I43" s="24" t="str" cm="1">
        <f t="array" ref="I43">IFERROR(INDEX('Budget Planning'!C:C,header_row_id),"")</f>
        <v>Savings</v>
      </c>
      <c r="J43" s="24" t="str" cm="1">
        <f t="array" ref="J43">IFERROR(INDEX('Budget Planning'!C:C,row_id),"")</f>
        <v>Emergency Fund</v>
      </c>
      <c r="K43" s="35" cm="1">
        <f t="array" aca="1" ref="K43"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3" s="24" cm="1">
        <f t="array" aca="1" ref="L43" ca="1">IF(OR(is_header,is_empty),"",
INDEX('Budget Planning'!$E:$CI,row_id,
MATCH(IF(selected_period="Total Year",selected_year,DATE(selected_year,selected_period,1)),'Budget Planning'!$E$9:$CI$9,0)))</f>
        <v>0</v>
      </c>
      <c r="M43" s="62" cm="1">
        <f t="array" ref="M43">IF(is_cat,
IF(header_row_id=income_header_row,MATCH(income_min_row,$C:$C,0),
   IF(header_row_id=expenses_header_row,MATCH(expenses_min_row,$C:$C,0),
      IF(header_row_id=savings_header_row,MATCH(savings_min_row,$C:$C,0),""))),"")</f>
        <v>43</v>
      </c>
      <c r="N43" s="24" cm="1">
        <f t="array" ref="N43">IF(is_cat,
IF(header_row_id=income_header_row,MATCH(income_max_row,$C:$C,0),
   IF(header_row_id=expenses_header_row,MATCH(expenses_max_row,$C:$C,0),
      IF(header_row_id=savings_header_row,MATCH(savings_max_row,$C:$C,0),""))),"")</f>
        <v>49</v>
      </c>
      <c r="O43" s="62" t="str">
        <f t="shared" si="2"/>
        <v>$K$43:$K$49</v>
      </c>
      <c r="P43" s="24">
        <f t="shared" ca="1" si="3"/>
        <v>2</v>
      </c>
      <c r="Q43" s="24" t="str">
        <f t="shared" si="4"/>
        <v>$L$43:$L$49</v>
      </c>
      <c r="R43" s="24">
        <f t="shared" ca="1" si="5"/>
        <v>2</v>
      </c>
      <c r="S43" s="62">
        <f t="shared" ca="1" si="6"/>
        <v>22</v>
      </c>
      <c r="T43" s="24" t="str">
        <f t="shared" si="7"/>
        <v>$S$43:$S$49</v>
      </c>
      <c r="U43" s="24">
        <f t="shared" ca="1" si="8"/>
        <v>2</v>
      </c>
      <c r="V43" s="24" t="str">
        <f t="shared" si="9"/>
        <v>$U$43:$U$43</v>
      </c>
      <c r="W43" s="61">
        <f t="shared" ca="1" si="10"/>
        <v>2</v>
      </c>
      <c r="X43" s="67">
        <f t="shared" ca="1" si="11"/>
        <v>47</v>
      </c>
      <c r="Y43" s="68" t="str">
        <f t="shared" ca="1" si="12"/>
        <v>401K</v>
      </c>
      <c r="Z43" s="70">
        <f t="shared" ca="1" si="13"/>
        <v>257.33999999999997</v>
      </c>
      <c r="AA43" s="70">
        <f t="shared" ca="1" si="14"/>
        <v>254.167</v>
      </c>
      <c r="AB43" s="69">
        <f t="shared" ca="1" si="15"/>
        <v>1.0124839180538778</v>
      </c>
      <c r="AC43" s="70">
        <f t="shared" ca="1" si="16"/>
        <v>0</v>
      </c>
      <c r="AD43" s="70">
        <f t="shared" ca="1" si="17"/>
        <v>3.1729999999999734</v>
      </c>
    </row>
    <row r="44" spans="3:30" x14ac:dyDescent="0.25">
      <c r="C44" s="57" cm="1">
        <f t="array" ref="C44">IF(C43=-1,-1,
    IF(C43&lt;income_max_row,C43+1,
       IF(C43=income_max_row,income_total_row,
          IF(C43=income_total_row,"/1",
             IF(C43="/1",expenses_header_row,
                IF(C43&lt;expenses_max_row,C43+1,
                   IF(C43=expenses_max_row,expenses_total_row,
                      IF(C43=expenses_total_row,"/2",
                         IF(C43="/2",savings_header_row,
                            IF(C43&lt;savings_max_row,C43+1,
                               IF(C43=savings_max_row,savings_total_row,-1)))))))))))</f>
        <v>47</v>
      </c>
      <c r="D44" s="24">
        <f t="shared" si="0"/>
        <v>45</v>
      </c>
      <c r="E44" s="62" cm="1">
        <f t="array" ref="E44">1*OR(row_id=income_header_row,row_id=expenses_header_row,row_id=savings_header_row)</f>
        <v>0</v>
      </c>
      <c r="F44" s="24">
        <f t="shared" si="18"/>
        <v>1</v>
      </c>
      <c r="G44" s="24" cm="1">
        <f t="array" ref="G44">OR(row_id=income_total_row,row_id=expenses_total_row,row_id=savings_total_row)*1</f>
        <v>0</v>
      </c>
      <c r="H44" s="61">
        <f t="shared" si="1"/>
        <v>0</v>
      </c>
      <c r="I44" s="24" t="str" cm="1">
        <f t="array" ref="I44">IFERROR(INDEX('Budget Planning'!C:C,header_row_id),"")</f>
        <v>Savings</v>
      </c>
      <c r="J44" s="24" t="str" cm="1">
        <f t="array" ref="J44">IFERROR(INDEX('Budget Planning'!C:C,row_id),"")</f>
        <v>401K</v>
      </c>
      <c r="K44" s="35" cm="1">
        <f t="array" aca="1" ref="K44"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257.33999999999997</v>
      </c>
      <c r="L44" s="24" cm="1">
        <f t="array" aca="1" ref="L44" ca="1">IF(OR(is_header,is_empty),"",
INDEX('Budget Planning'!$E:$CI,row_id,
MATCH(IF(selected_period="Total Year",selected_year,DATE(selected_year,selected_period,1)),'Budget Planning'!$E$9:$CI$9,0)))</f>
        <v>254.167</v>
      </c>
      <c r="M44" s="62" cm="1">
        <f t="array" ref="M44">IF(is_cat,
IF(header_row_id=income_header_row,MATCH(income_min_row,$C:$C,0),
   IF(header_row_id=expenses_header_row,MATCH(expenses_min_row,$C:$C,0),
      IF(header_row_id=savings_header_row,MATCH(savings_min_row,$C:$C,0),""))),"")</f>
        <v>43</v>
      </c>
      <c r="N44" s="24" cm="1">
        <f t="array" ref="N44">IF(is_cat,
IF(header_row_id=income_header_row,MATCH(income_max_row,$C:$C,0),
   IF(header_row_id=expenses_header_row,MATCH(expenses_max_row,$C:$C,0),
      IF(header_row_id=savings_header_row,MATCH(savings_max_row,$C:$C,0),""))),"")</f>
        <v>49</v>
      </c>
      <c r="O44" s="62" t="str">
        <f t="shared" si="2"/>
        <v>$K$43:$K$49</v>
      </c>
      <c r="P44" s="24">
        <f t="shared" ca="1" si="3"/>
        <v>1</v>
      </c>
      <c r="Q44" s="24" t="str">
        <f t="shared" si="4"/>
        <v>$L$43:$L$49</v>
      </c>
      <c r="R44" s="24">
        <f t="shared" ca="1" si="5"/>
        <v>1</v>
      </c>
      <c r="S44" s="62">
        <f t="shared" ca="1" si="6"/>
        <v>11</v>
      </c>
      <c r="T44" s="24" t="str">
        <f t="shared" si="7"/>
        <v>$S$43:$S$49</v>
      </c>
      <c r="U44" s="24">
        <f t="shared" ca="1" si="8"/>
        <v>1</v>
      </c>
      <c r="V44" s="24" t="str">
        <f t="shared" si="9"/>
        <v>$U$43:$U$44</v>
      </c>
      <c r="W44" s="61">
        <f t="shared" ca="1" si="10"/>
        <v>1</v>
      </c>
      <c r="X44" s="67">
        <f t="shared" ca="1" si="11"/>
        <v>46</v>
      </c>
      <c r="Y44" s="68" t="str">
        <f t="shared" ca="1" si="12"/>
        <v>Emergency Fund</v>
      </c>
      <c r="Z44" s="70">
        <f t="shared" ca="1" si="13"/>
        <v>0</v>
      </c>
      <c r="AA44" s="70">
        <f t="shared" ca="1" si="14"/>
        <v>0</v>
      </c>
      <c r="AB44" s="69" t="str">
        <f t="shared" ca="1" si="15"/>
        <v>-</v>
      </c>
      <c r="AC44" s="70">
        <f t="shared" ca="1" si="16"/>
        <v>0</v>
      </c>
      <c r="AD44" s="70">
        <f t="shared" ca="1" si="17"/>
        <v>0</v>
      </c>
    </row>
    <row r="45" spans="3:30" x14ac:dyDescent="0.25">
      <c r="C45" s="57" cm="1">
        <f t="array" ref="C45">IF(C44=-1,-1,
    IF(C44&lt;income_max_row,C44+1,
       IF(C44=income_max_row,income_total_row,
          IF(C44=income_total_row,"/1",
             IF(C44="/1",expenses_header_row,
                IF(C44&lt;expenses_max_row,C44+1,
                   IF(C44=expenses_max_row,expenses_total_row,
                      IF(C44=expenses_total_row,"/2",
                         IF(C44="/2",savings_header_row,
                            IF(C44&lt;savings_max_row,C44+1,
                               IF(C44=savings_max_row,savings_total_row,-1)))))))))))</f>
        <v>48</v>
      </c>
      <c r="D45" s="24">
        <f t="shared" si="0"/>
        <v>45</v>
      </c>
      <c r="E45" s="62" cm="1">
        <f t="array" ref="E45">1*OR(row_id=income_header_row,row_id=expenses_header_row,row_id=savings_header_row)</f>
        <v>0</v>
      </c>
      <c r="F45" s="24">
        <f t="shared" si="18"/>
        <v>1</v>
      </c>
      <c r="G45" s="24" cm="1">
        <f t="array" ref="G45">OR(row_id=income_total_row,row_id=expenses_total_row,row_id=savings_total_row)*1</f>
        <v>0</v>
      </c>
      <c r="H45" s="61">
        <f t="shared" si="1"/>
        <v>0</v>
      </c>
      <c r="I45" s="24" t="str" cm="1">
        <f t="array" ref="I45">IFERROR(INDEX('Budget Planning'!C:C,header_row_id),"")</f>
        <v>Savings</v>
      </c>
      <c r="J45" s="24" t="str" cm="1">
        <f t="array" ref="J45">IFERROR(INDEX('Budget Planning'!C:C,row_id),"")</f>
        <v>Roth IRA</v>
      </c>
      <c r="K45" s="35" cm="1">
        <f t="array" aca="1" ref="K45"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5" s="24" cm="1">
        <f t="array" aca="1" ref="L45" ca="1">IF(OR(is_header,is_empty),"",
INDEX('Budget Planning'!$E:$CI,row_id,
MATCH(IF(selected_period="Total Year",selected_year,DATE(selected_year,selected_period,1)),'Budget Planning'!$E$9:$CI$9,0)))</f>
        <v>0</v>
      </c>
      <c r="M45" s="62" cm="1">
        <f t="array" ref="M45">IF(is_cat,
IF(header_row_id=income_header_row,MATCH(income_min_row,$C:$C,0),
   IF(header_row_id=expenses_header_row,MATCH(expenses_min_row,$C:$C,0),
      IF(header_row_id=savings_header_row,MATCH(savings_min_row,$C:$C,0),""))),"")</f>
        <v>43</v>
      </c>
      <c r="N45" s="24" cm="1">
        <f t="array" ref="N45">IF(is_cat,
IF(header_row_id=income_header_row,MATCH(income_max_row,$C:$C,0),
   IF(header_row_id=expenses_header_row,MATCH(expenses_max_row,$C:$C,0),
      IF(header_row_id=savings_header_row,MATCH(savings_max_row,$C:$C,0),""))),"")</f>
        <v>49</v>
      </c>
      <c r="O45" s="62" t="str">
        <f t="shared" si="2"/>
        <v>$K$43:$K$49</v>
      </c>
      <c r="P45" s="24">
        <f t="shared" ca="1" si="3"/>
        <v>2</v>
      </c>
      <c r="Q45" s="24" t="str">
        <f t="shared" si="4"/>
        <v>$L$43:$L$49</v>
      </c>
      <c r="R45" s="24">
        <f t="shared" ca="1" si="5"/>
        <v>2</v>
      </c>
      <c r="S45" s="62">
        <f t="shared" ca="1" si="6"/>
        <v>22</v>
      </c>
      <c r="T45" s="24" t="str">
        <f t="shared" si="7"/>
        <v>$S$43:$S$49</v>
      </c>
      <c r="U45" s="24">
        <f t="shared" ca="1" si="8"/>
        <v>2</v>
      </c>
      <c r="V45" s="24" t="str">
        <f t="shared" si="9"/>
        <v>$U$43:$U$45</v>
      </c>
      <c r="W45" s="61">
        <f t="shared" ca="1" si="10"/>
        <v>3</v>
      </c>
      <c r="X45" s="67">
        <f t="shared" ca="1" si="11"/>
        <v>48</v>
      </c>
      <c r="Y45" s="68" t="str">
        <f t="shared" ca="1" si="12"/>
        <v>Roth IRA</v>
      </c>
      <c r="Z45" s="70">
        <f t="shared" ca="1" si="13"/>
        <v>0</v>
      </c>
      <c r="AA45" s="70">
        <f t="shared" ca="1" si="14"/>
        <v>0</v>
      </c>
      <c r="AB45" s="69" t="str">
        <f t="shared" ca="1" si="15"/>
        <v>-</v>
      </c>
      <c r="AC45" s="70">
        <f t="shared" ca="1" si="16"/>
        <v>0</v>
      </c>
      <c r="AD45" s="70">
        <f t="shared" ca="1" si="17"/>
        <v>0</v>
      </c>
    </row>
    <row r="46" spans="3:30" x14ac:dyDescent="0.25">
      <c r="C46" s="57" cm="1">
        <f t="array" ref="C46">IF(C45=-1,-1,
    IF(C45&lt;income_max_row,C45+1,
       IF(C45=income_max_row,income_total_row,
          IF(C45=income_total_row,"/1",
             IF(C45="/1",expenses_header_row,
                IF(C45&lt;expenses_max_row,C45+1,
                   IF(C45=expenses_max_row,expenses_total_row,
                      IF(C45=expenses_total_row,"/2",
                         IF(C45="/2",savings_header_row,
                            IF(C45&lt;savings_max_row,C45+1,
                               IF(C45=savings_max_row,savings_total_row,-1)))))))))))</f>
        <v>49</v>
      </c>
      <c r="D46" s="24">
        <f t="shared" si="0"/>
        <v>45</v>
      </c>
      <c r="E46" s="62" cm="1">
        <f t="array" ref="E46">1*OR(row_id=income_header_row,row_id=expenses_header_row,row_id=savings_header_row)</f>
        <v>0</v>
      </c>
      <c r="F46" s="24">
        <f t="shared" si="18"/>
        <v>1</v>
      </c>
      <c r="G46" s="24" cm="1">
        <f t="array" ref="G46">OR(row_id=income_total_row,row_id=expenses_total_row,row_id=savings_total_row)*1</f>
        <v>0</v>
      </c>
      <c r="H46" s="61">
        <f t="shared" si="1"/>
        <v>0</v>
      </c>
      <c r="I46" s="24" t="str" cm="1">
        <f t="array" ref="I46">IFERROR(INDEX('Budget Planning'!C:C,header_row_id),"")</f>
        <v>Savings</v>
      </c>
      <c r="J46" s="24" t="str" cm="1">
        <f t="array" ref="J46">IFERROR(INDEX('Budget Planning'!C:C,row_id),"")</f>
        <v xml:space="preserve">Stock Portfolio </v>
      </c>
      <c r="K46" s="35" cm="1">
        <f t="array" aca="1" ref="K46"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6" s="24" cm="1">
        <f t="array" aca="1" ref="L46" ca="1">IF(OR(is_header,is_empty),"",
INDEX('Budget Planning'!$E:$CI,row_id,
MATCH(IF(selected_period="Total Year",selected_year,DATE(selected_year,selected_period,1)),'Budget Planning'!$E$9:$CI$9,0)))</f>
        <v>0</v>
      </c>
      <c r="M46" s="62" cm="1">
        <f t="array" ref="M46">IF(is_cat,
IF(header_row_id=income_header_row,MATCH(income_min_row,$C:$C,0),
   IF(header_row_id=expenses_header_row,MATCH(expenses_min_row,$C:$C,0),
      IF(header_row_id=savings_header_row,MATCH(savings_min_row,$C:$C,0),""))),"")</f>
        <v>43</v>
      </c>
      <c r="N46" s="24" cm="1">
        <f t="array" ref="N46">IF(is_cat,
IF(header_row_id=income_header_row,MATCH(income_max_row,$C:$C,0),
   IF(header_row_id=expenses_header_row,MATCH(expenses_max_row,$C:$C,0),
      IF(header_row_id=savings_header_row,MATCH(savings_max_row,$C:$C,0),""))),"")</f>
        <v>49</v>
      </c>
      <c r="O46" s="62" t="str">
        <f t="shared" si="2"/>
        <v>$K$43:$K$49</v>
      </c>
      <c r="P46" s="24">
        <f t="shared" ca="1" si="3"/>
        <v>2</v>
      </c>
      <c r="Q46" s="24" t="str">
        <f t="shared" si="4"/>
        <v>$L$43:$L$49</v>
      </c>
      <c r="R46" s="24">
        <f t="shared" ca="1" si="5"/>
        <v>2</v>
      </c>
      <c r="S46" s="62">
        <f t="shared" ca="1" si="6"/>
        <v>22</v>
      </c>
      <c r="T46" s="24" t="str">
        <f t="shared" si="7"/>
        <v>$S$43:$S$49</v>
      </c>
      <c r="U46" s="24">
        <f t="shared" ca="1" si="8"/>
        <v>2</v>
      </c>
      <c r="V46" s="24" t="str">
        <f t="shared" si="9"/>
        <v>$U$43:$U$46</v>
      </c>
      <c r="W46" s="61">
        <f t="shared" ca="1" si="10"/>
        <v>4</v>
      </c>
      <c r="X46" s="67">
        <f t="shared" ca="1" si="11"/>
        <v>49</v>
      </c>
      <c r="Y46" s="68" t="str">
        <f t="shared" ca="1" si="12"/>
        <v xml:space="preserve">Stock Portfolio </v>
      </c>
      <c r="Z46" s="70">
        <f t="shared" ca="1" si="13"/>
        <v>0</v>
      </c>
      <c r="AA46" s="70">
        <f t="shared" ca="1" si="14"/>
        <v>0</v>
      </c>
      <c r="AB46" s="69" t="str">
        <f t="shared" ca="1" si="15"/>
        <v>-</v>
      </c>
      <c r="AC46" s="70">
        <f t="shared" ca="1" si="16"/>
        <v>0</v>
      </c>
      <c r="AD46" s="70">
        <f t="shared" ca="1" si="17"/>
        <v>0</v>
      </c>
    </row>
    <row r="47" spans="3:30" x14ac:dyDescent="0.25">
      <c r="C47" s="57" cm="1">
        <f t="array" ref="C47">IF(C46=-1,-1,
    IF(C46&lt;income_max_row,C46+1,
       IF(C46=income_max_row,income_total_row,
          IF(C46=income_total_row,"/1",
             IF(C46="/1",expenses_header_row,
                IF(C46&lt;expenses_max_row,C46+1,
                   IF(C46=expenses_max_row,expenses_total_row,
                      IF(C46=expenses_total_row,"/2",
                         IF(C46="/2",savings_header_row,
                            IF(C46&lt;savings_max_row,C46+1,
                               IF(C46=savings_max_row,savings_total_row,-1)))))))))))</f>
        <v>50</v>
      </c>
      <c r="D47" s="24">
        <f t="shared" si="0"/>
        <v>45</v>
      </c>
      <c r="E47" s="62" cm="1">
        <f t="array" ref="E47">1*OR(row_id=income_header_row,row_id=expenses_header_row,row_id=savings_header_row)</f>
        <v>0</v>
      </c>
      <c r="F47" s="24">
        <f t="shared" si="18"/>
        <v>1</v>
      </c>
      <c r="G47" s="24" cm="1">
        <f t="array" ref="G47">OR(row_id=income_total_row,row_id=expenses_total_row,row_id=savings_total_row)*1</f>
        <v>0</v>
      </c>
      <c r="H47" s="61">
        <f t="shared" si="1"/>
        <v>0</v>
      </c>
      <c r="I47" s="24" t="str" cm="1">
        <f t="array" ref="I47">IFERROR(INDEX('Budget Planning'!C:C,header_row_id),"")</f>
        <v>Savings</v>
      </c>
      <c r="J47" s="24" t="str" cm="1">
        <f t="array" ref="J47">IFERROR(INDEX('Budget Planning'!C:C,row_id),"")</f>
        <v>Sinking Fund Rest</v>
      </c>
      <c r="K47" s="35" cm="1">
        <f t="array" aca="1" ref="K47"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7" s="24" cm="1">
        <f t="array" aca="1" ref="L47" ca="1">IF(OR(is_header,is_empty),"",
INDEX('Budget Planning'!$E:$CI,row_id,
MATCH(IF(selected_period="Total Year",selected_year,DATE(selected_year,selected_period,1)),'Budget Planning'!$E$9:$CI$9,0)))</f>
        <v>0</v>
      </c>
      <c r="M47" s="62" cm="1">
        <f t="array" ref="M47">IF(is_cat,
IF(header_row_id=income_header_row,MATCH(income_min_row,$C:$C,0),
   IF(header_row_id=expenses_header_row,MATCH(expenses_min_row,$C:$C,0),
      IF(header_row_id=savings_header_row,MATCH(savings_min_row,$C:$C,0),""))),"")</f>
        <v>43</v>
      </c>
      <c r="N47" s="24" cm="1">
        <f t="array" ref="N47">IF(is_cat,
IF(header_row_id=income_header_row,MATCH(income_max_row,$C:$C,0),
   IF(header_row_id=expenses_header_row,MATCH(expenses_max_row,$C:$C,0),
      IF(header_row_id=savings_header_row,MATCH(savings_max_row,$C:$C,0),""))),"")</f>
        <v>49</v>
      </c>
      <c r="O47" s="62" t="str">
        <f t="shared" si="2"/>
        <v>$K$43:$K$49</v>
      </c>
      <c r="P47" s="24">
        <f t="shared" ca="1" si="3"/>
        <v>2</v>
      </c>
      <c r="Q47" s="24" t="str">
        <f t="shared" si="4"/>
        <v>$L$43:$L$49</v>
      </c>
      <c r="R47" s="24">
        <f t="shared" ca="1" si="5"/>
        <v>2</v>
      </c>
      <c r="S47" s="62">
        <f t="shared" ca="1" si="6"/>
        <v>22</v>
      </c>
      <c r="T47" s="24" t="str">
        <f t="shared" si="7"/>
        <v>$S$43:$S$49</v>
      </c>
      <c r="U47" s="24">
        <f t="shared" ca="1" si="8"/>
        <v>2</v>
      </c>
      <c r="V47" s="24" t="str">
        <f t="shared" si="9"/>
        <v>$U$43:$U$47</v>
      </c>
      <c r="W47" s="61">
        <f t="shared" ca="1" si="10"/>
        <v>5</v>
      </c>
      <c r="X47" s="67">
        <f t="shared" ca="1" si="11"/>
        <v>50</v>
      </c>
      <c r="Y47" s="68" t="str">
        <f t="shared" ca="1" si="12"/>
        <v>Sinking Fund Rest</v>
      </c>
      <c r="Z47" s="70">
        <f t="shared" ca="1" si="13"/>
        <v>0</v>
      </c>
      <c r="AA47" s="70">
        <f t="shared" ca="1" si="14"/>
        <v>0</v>
      </c>
      <c r="AB47" s="69" t="str">
        <f t="shared" ca="1" si="15"/>
        <v>-</v>
      </c>
      <c r="AC47" s="70">
        <f t="shared" ca="1" si="16"/>
        <v>0</v>
      </c>
      <c r="AD47" s="70">
        <f t="shared" ca="1" si="17"/>
        <v>0</v>
      </c>
    </row>
    <row r="48" spans="3:30" x14ac:dyDescent="0.25">
      <c r="C48" s="57" cm="1">
        <f t="array" ref="C48">IF(C47=-1,-1,
    IF(C47&lt;income_max_row,C47+1,
       IF(C47=income_max_row,income_total_row,
          IF(C47=income_total_row,"/1",
             IF(C47="/1",expenses_header_row,
                IF(C47&lt;expenses_max_row,C47+1,
                   IF(C47=expenses_max_row,expenses_total_row,
                      IF(C47=expenses_total_row,"/2",
                         IF(C47="/2",savings_header_row,
                            IF(C47&lt;savings_max_row,C47+1,
                               IF(C47=savings_max_row,savings_total_row,-1)))))))))))</f>
        <v>51</v>
      </c>
      <c r="D48" s="24">
        <f t="shared" si="0"/>
        <v>45</v>
      </c>
      <c r="E48" s="62" cm="1">
        <f t="array" ref="E48">1*OR(row_id=income_header_row,row_id=expenses_header_row,row_id=savings_header_row)</f>
        <v>0</v>
      </c>
      <c r="F48" s="24">
        <f t="shared" si="18"/>
        <v>1</v>
      </c>
      <c r="G48" s="24" cm="1">
        <f t="array" ref="G48">OR(row_id=income_total_row,row_id=expenses_total_row,row_id=savings_total_row)*1</f>
        <v>0</v>
      </c>
      <c r="H48" s="61">
        <f t="shared" si="1"/>
        <v>0</v>
      </c>
      <c r="I48" s="24" t="str" cm="1">
        <f t="array" ref="I48">IFERROR(INDEX('Budget Planning'!C:C,header_row_id),"")</f>
        <v>Savings</v>
      </c>
      <c r="J48" s="24" t="str" cm="1">
        <f t="array" ref="J48">IFERROR(INDEX('Budget Planning'!C:C,row_id),"")</f>
        <v>Funtime Fund</v>
      </c>
      <c r="K48" s="35" cm="1">
        <f t="array" aca="1" ref="K48"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8" s="24" cm="1">
        <f t="array" aca="1" ref="L48" ca="1">IF(OR(is_header,is_empty),"",
INDEX('Budget Planning'!$E:$CI,row_id,
MATCH(IF(selected_period="Total Year",selected_year,DATE(selected_year,selected_period,1)),'Budget Planning'!$E$9:$CI$9,0)))</f>
        <v>0</v>
      </c>
      <c r="M48" s="62" cm="1">
        <f t="array" ref="M48">IF(is_cat,
IF(header_row_id=income_header_row,MATCH(income_min_row,$C:$C,0),
   IF(header_row_id=expenses_header_row,MATCH(expenses_min_row,$C:$C,0),
      IF(header_row_id=savings_header_row,MATCH(savings_min_row,$C:$C,0),""))),"")</f>
        <v>43</v>
      </c>
      <c r="N48" s="24" cm="1">
        <f t="array" ref="N48">IF(is_cat,
IF(header_row_id=income_header_row,MATCH(income_max_row,$C:$C,0),
   IF(header_row_id=expenses_header_row,MATCH(expenses_max_row,$C:$C,0),
      IF(header_row_id=savings_header_row,MATCH(savings_max_row,$C:$C,0),""))),"")</f>
        <v>49</v>
      </c>
      <c r="O48" s="62" t="str">
        <f t="shared" si="2"/>
        <v>$K$43:$K$49</v>
      </c>
      <c r="P48" s="24">
        <f t="shared" ca="1" si="3"/>
        <v>2</v>
      </c>
      <c r="Q48" s="24" t="str">
        <f t="shared" si="4"/>
        <v>$L$43:$L$49</v>
      </c>
      <c r="R48" s="24">
        <f t="shared" ca="1" si="5"/>
        <v>2</v>
      </c>
      <c r="S48" s="62">
        <f t="shared" ca="1" si="6"/>
        <v>22</v>
      </c>
      <c r="T48" s="24" t="str">
        <f t="shared" si="7"/>
        <v>$S$43:$S$49</v>
      </c>
      <c r="U48" s="24">
        <f t="shared" ca="1" si="8"/>
        <v>2</v>
      </c>
      <c r="V48" s="24" t="str">
        <f t="shared" si="9"/>
        <v>$U$43:$U$48</v>
      </c>
      <c r="W48" s="61">
        <f t="shared" ca="1" si="10"/>
        <v>6</v>
      </c>
      <c r="X48" s="67">
        <f t="shared" ca="1" si="11"/>
        <v>51</v>
      </c>
      <c r="Y48" s="68" t="str">
        <f t="shared" ca="1" si="12"/>
        <v>Funtime Fund</v>
      </c>
      <c r="Z48" s="70">
        <f t="shared" ca="1" si="13"/>
        <v>0</v>
      </c>
      <c r="AA48" s="70">
        <f t="shared" ca="1" si="14"/>
        <v>0</v>
      </c>
      <c r="AB48" s="69" t="str">
        <f t="shared" ca="1" si="15"/>
        <v>-</v>
      </c>
      <c r="AC48" s="70">
        <f t="shared" ca="1" si="16"/>
        <v>0</v>
      </c>
      <c r="AD48" s="70">
        <f t="shared" ca="1" si="17"/>
        <v>0</v>
      </c>
    </row>
    <row r="49" spans="3:30" x14ac:dyDescent="0.25">
      <c r="C49" s="57" cm="1">
        <f t="array" ref="C49">IF(C48=-1,-1,
    IF(C48&lt;income_max_row,C48+1,
       IF(C48=income_max_row,income_total_row,
          IF(C48=income_total_row,"/1",
             IF(C48="/1",expenses_header_row,
                IF(C48&lt;expenses_max_row,C48+1,
                   IF(C48=expenses_max_row,expenses_total_row,
                      IF(C48=expenses_total_row,"/2",
                         IF(C48="/2",savings_header_row,
                            IF(C48&lt;savings_max_row,C48+1,
                               IF(C48=savings_max_row,savings_total_row,-1)))))))))))</f>
        <v>52</v>
      </c>
      <c r="D49" s="24">
        <f t="shared" si="0"/>
        <v>45</v>
      </c>
      <c r="E49" s="62" cm="1">
        <f t="array" ref="E49">1*OR(row_id=income_header_row,row_id=expenses_header_row,row_id=savings_header_row)</f>
        <v>0</v>
      </c>
      <c r="F49" s="24">
        <f t="shared" si="18"/>
        <v>1</v>
      </c>
      <c r="G49" s="24" cm="1">
        <f t="array" ref="G49">OR(row_id=income_total_row,row_id=expenses_total_row,row_id=savings_total_row)*1</f>
        <v>0</v>
      </c>
      <c r="H49" s="61">
        <f t="shared" si="1"/>
        <v>0</v>
      </c>
      <c r="I49" s="24" t="str" cm="1">
        <f t="array" ref="I49">IFERROR(INDEX('Budget Planning'!C:C,header_row_id),"")</f>
        <v>Savings</v>
      </c>
      <c r="J49" s="24" t="str" cm="1">
        <f t="array" ref="J49">IFERROR(INDEX('Budget Planning'!C:C,row_id),"")</f>
        <v>Brokerage</v>
      </c>
      <c r="K49" s="35" cm="1">
        <f t="array" aca="1" ref="K49"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0</v>
      </c>
      <c r="L49" s="24" cm="1">
        <f t="array" aca="1" ref="L49" ca="1">IF(OR(is_header,is_empty),"",
INDEX('Budget Planning'!$E:$CI,row_id,
MATCH(IF(selected_period="Total Year",selected_year,DATE(selected_year,selected_period,1)),'Budget Planning'!$E$9:$CI$9,0)))</f>
        <v>0</v>
      </c>
      <c r="M49" s="62" cm="1">
        <f t="array" ref="M49">IF(is_cat,
IF(header_row_id=income_header_row,MATCH(income_min_row,$C:$C,0),
   IF(header_row_id=expenses_header_row,MATCH(expenses_min_row,$C:$C,0),
      IF(header_row_id=savings_header_row,MATCH(savings_min_row,$C:$C,0),""))),"")</f>
        <v>43</v>
      </c>
      <c r="N49" s="24" cm="1">
        <f t="array" ref="N49">IF(is_cat,
IF(header_row_id=income_header_row,MATCH(income_max_row,$C:$C,0),
   IF(header_row_id=expenses_header_row,MATCH(expenses_max_row,$C:$C,0),
      IF(header_row_id=savings_header_row,MATCH(savings_max_row,$C:$C,0),""))),"")</f>
        <v>49</v>
      </c>
      <c r="O49" s="62" t="str">
        <f t="shared" si="2"/>
        <v>$K$43:$K$49</v>
      </c>
      <c r="P49" s="24">
        <f t="shared" ca="1" si="3"/>
        <v>2</v>
      </c>
      <c r="Q49" s="24" t="str">
        <f t="shared" si="4"/>
        <v>$L$43:$L$49</v>
      </c>
      <c r="R49" s="24">
        <f t="shared" ca="1" si="5"/>
        <v>2</v>
      </c>
      <c r="S49" s="62">
        <f t="shared" ca="1" si="6"/>
        <v>22</v>
      </c>
      <c r="T49" s="24" t="str">
        <f t="shared" si="7"/>
        <v>$S$43:$S$49</v>
      </c>
      <c r="U49" s="24">
        <f t="shared" ca="1" si="8"/>
        <v>2</v>
      </c>
      <c r="V49" s="24" t="str">
        <f t="shared" si="9"/>
        <v>$U$43:$U$49</v>
      </c>
      <c r="W49" s="61">
        <f t="shared" ca="1" si="10"/>
        <v>7</v>
      </c>
      <c r="X49" s="67">
        <f t="shared" ca="1" si="11"/>
        <v>52</v>
      </c>
      <c r="Y49" s="68" t="str">
        <f t="shared" ca="1" si="12"/>
        <v>Brokerage</v>
      </c>
      <c r="Z49" s="70">
        <f t="shared" ca="1" si="13"/>
        <v>0</v>
      </c>
      <c r="AA49" s="70">
        <f t="shared" ca="1" si="14"/>
        <v>0</v>
      </c>
      <c r="AB49" s="69" t="str">
        <f t="shared" ca="1" si="15"/>
        <v>-</v>
      </c>
      <c r="AC49" s="70">
        <f t="shared" ca="1" si="16"/>
        <v>0</v>
      </c>
      <c r="AD49" s="70">
        <f t="shared" ca="1" si="17"/>
        <v>0</v>
      </c>
    </row>
    <row r="50" spans="3:30" x14ac:dyDescent="0.25">
      <c r="C50" s="57" cm="1">
        <f t="array" ref="C50">IF(C49=-1,-1,
    IF(C49&lt;income_max_row,C49+1,
       IF(C49=income_max_row,income_total_row,
          IF(C49=income_total_row,"/1",
             IF(C49="/1",expenses_header_row,
                IF(C49&lt;expenses_max_row,C49+1,
                   IF(C49=expenses_max_row,expenses_total_row,
                      IF(C49=expenses_total_row,"/2",
                         IF(C49="/2",savings_header_row,
                            IF(C49&lt;savings_max_row,C49+1,
                               IF(C49=savings_max_row,savings_total_row,-1)))))))))))</f>
        <v>58</v>
      </c>
      <c r="D50" s="24">
        <f t="shared" si="0"/>
        <v>45</v>
      </c>
      <c r="E50" s="62" cm="1">
        <f t="array" ref="E50">1*OR(row_id=income_header_row,row_id=expenses_header_row,row_id=savings_header_row)</f>
        <v>0</v>
      </c>
      <c r="F50" s="24">
        <f t="shared" si="18"/>
        <v>0</v>
      </c>
      <c r="G50" s="24" cm="1">
        <f t="array" ref="G50">OR(row_id=income_total_row,row_id=expenses_total_row,row_id=savings_total_row)*1</f>
        <v>1</v>
      </c>
      <c r="H50" s="61">
        <f t="shared" si="1"/>
        <v>0</v>
      </c>
      <c r="I50" s="24" t="str" cm="1">
        <f t="array" ref="I50">IFERROR(INDEX('Budget Planning'!C:C,header_row_id),"")</f>
        <v>Savings</v>
      </c>
      <c r="J50" s="24" t="str" cm="1">
        <f t="array" ref="J50">IFERROR(INDEX('Budget Planning'!C:C,row_id),"")</f>
        <v xml:space="preserve">Total </v>
      </c>
      <c r="K50" s="35" cm="1">
        <f t="array" aca="1" ref="K50" ca="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257.33999999999997</v>
      </c>
      <c r="L50" s="24" cm="1">
        <f t="array" aca="1" ref="L50" ca="1">IF(OR(is_header,is_empty),"",
INDEX('Budget Planning'!$E:$CI,row_id,
MATCH(IF(selected_period="Total Year",selected_year,DATE(selected_year,selected_period,1)),'Budget Planning'!$E$9:$CI$9,0)))</f>
        <v>254.167</v>
      </c>
      <c r="M50" s="62" t="str" cm="1">
        <f t="array" ref="M50">IF(is_cat,
IF(header_row_id=income_header_row,MATCH(income_min_row,$C:$C,0),
   IF(header_row_id=expenses_header_row,MATCH(expenses_min_row,$C:$C,0),
      IF(header_row_id=savings_header_row,MATCH(savings_min_row,$C:$C,0),""))),"")</f>
        <v/>
      </c>
      <c r="N50" s="24" t="str" cm="1">
        <f t="array" ref="N50">IF(is_cat,
IF(header_row_id=income_header_row,MATCH(income_max_row,$C:$C,0),
   IF(header_row_id=expenses_header_row,MATCH(expenses_max_row,$C:$C,0),
      IF(header_row_id=savings_header_row,MATCH(savings_max_row,$C:$C,0),""))),"")</f>
        <v/>
      </c>
      <c r="O50" s="62" t="str">
        <f t="shared" si="2"/>
        <v/>
      </c>
      <c r="P50" s="24" t="str">
        <f t="shared" ca="1" si="3"/>
        <v/>
      </c>
      <c r="Q50" s="24" t="str">
        <f t="shared" si="4"/>
        <v/>
      </c>
      <c r="R50" s="24" t="str">
        <f t="shared" ca="1" si="5"/>
        <v/>
      </c>
      <c r="S50" s="62" t="str">
        <f t="shared" si="6"/>
        <v/>
      </c>
      <c r="T50" s="24" t="str">
        <f t="shared" si="7"/>
        <v/>
      </c>
      <c r="U50" s="24" t="str">
        <f t="shared" ca="1" si="8"/>
        <v/>
      </c>
      <c r="V50" s="24" t="str">
        <f t="shared" si="9"/>
        <v/>
      </c>
      <c r="W50" s="61" t="str">
        <f t="shared" ca="1" si="10"/>
        <v/>
      </c>
      <c r="X50" s="67">
        <f t="shared" si="11"/>
        <v>58</v>
      </c>
      <c r="Y50" s="68" t="str">
        <f t="shared" ca="1" si="12"/>
        <v xml:space="preserve">Total </v>
      </c>
      <c r="Z50" s="70">
        <f t="shared" ca="1" si="13"/>
        <v>257.33999999999997</v>
      </c>
      <c r="AA50" s="70">
        <f t="shared" ca="1" si="14"/>
        <v>254.167</v>
      </c>
      <c r="AB50" s="69">
        <f t="shared" ca="1" si="15"/>
        <v>1.0124839180538778</v>
      </c>
      <c r="AC50" s="70">
        <f t="shared" ca="1" si="16"/>
        <v>0</v>
      </c>
      <c r="AD50" s="70">
        <f t="shared" ca="1" si="17"/>
        <v>3.1729999999999734</v>
      </c>
    </row>
    <row r="51" spans="3:30" x14ac:dyDescent="0.25">
      <c r="C51" s="57" cm="1">
        <f t="array" ref="C51">IF(C50=-1,-1,
    IF(C50&lt;income_max_row,C50+1,
       IF(C50=income_max_row,income_total_row,
          IF(C50=income_total_row,"/1",
             IF(C50="/1",expenses_header_row,
                IF(C50&lt;expenses_max_row,C50+1,
                   IF(C50=expenses_max_row,expenses_total_row,
                      IF(C50=expenses_total_row,"/2",
                         IF(C50="/2",savings_header_row,
                            IF(C50&lt;savings_max_row,C50+1,
                               IF(C50=savings_max_row,savings_total_row,-1)))))))))))</f>
        <v>-1</v>
      </c>
      <c r="D51" s="24">
        <f t="shared" si="0"/>
        <v>-1</v>
      </c>
      <c r="E51" s="62" cm="1">
        <f t="array" ref="E51">1*OR(row_id=income_header_row,row_id=expenses_header_row,row_id=savings_header_row)</f>
        <v>0</v>
      </c>
      <c r="F51" s="24">
        <f t="shared" si="18"/>
        <v>0</v>
      </c>
      <c r="G51" s="24" cm="1">
        <f t="array" ref="G51">OR(row_id=income_total_row,row_id=expenses_total_row,row_id=savings_total_row)*1</f>
        <v>0</v>
      </c>
      <c r="H51" s="61">
        <f t="shared" si="1"/>
        <v>1</v>
      </c>
      <c r="I51" s="24" t="str" cm="1">
        <f t="array" ref="I51">IFERROR(INDEX('Budget Planning'!C:C,header_row_id),"")</f>
        <v/>
      </c>
      <c r="J51" s="24" t="str" cm="1">
        <f t="array" ref="J51">IFERROR(INDEX('Budget Planning'!C:C,row_id),"")</f>
        <v/>
      </c>
      <c r="K51" s="35" t="str" cm="1">
        <f t="array" ref="K51">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1" s="24" t="str" cm="1">
        <f t="array" ref="L51">IF(OR(is_header,is_empty),"",
INDEX('Budget Planning'!$E:$CI,row_id,
MATCH(IF(selected_period="Total Year",selected_year,DATE(selected_year,selected_period,1)),'Budget Planning'!$E$9:$CI$9,0)))</f>
        <v/>
      </c>
      <c r="M51" s="62" t="str" cm="1">
        <f t="array" ref="M51">IF(is_cat,
IF(header_row_id=income_header_row,MATCH(income_min_row,$C:$C,0),
   IF(header_row_id=expenses_header_row,MATCH(expenses_min_row,$C:$C,0),
      IF(header_row_id=savings_header_row,MATCH(savings_min_row,$C:$C,0),""))),"")</f>
        <v/>
      </c>
      <c r="N51" s="24" t="str" cm="1">
        <f t="array" ref="N51">IF(is_cat,
IF(header_row_id=income_header_row,MATCH(income_max_row,$C:$C,0),
   IF(header_row_id=expenses_header_row,MATCH(expenses_max_row,$C:$C,0),
      IF(header_row_id=savings_header_row,MATCH(savings_max_row,$C:$C,0),""))),"")</f>
        <v/>
      </c>
      <c r="O51" s="62" t="str">
        <f t="shared" si="2"/>
        <v/>
      </c>
      <c r="P51" s="24" t="str">
        <f t="shared" ca="1" si="3"/>
        <v/>
      </c>
      <c r="Q51" s="24" t="str">
        <f t="shared" si="4"/>
        <v/>
      </c>
      <c r="R51" s="24" t="str">
        <f t="shared" ca="1" si="5"/>
        <v/>
      </c>
      <c r="S51" s="62" t="str">
        <f t="shared" si="6"/>
        <v/>
      </c>
      <c r="T51" s="24" t="str">
        <f t="shared" si="7"/>
        <v/>
      </c>
      <c r="U51" s="24" t="str">
        <f t="shared" ca="1" si="8"/>
        <v/>
      </c>
      <c r="V51" s="24" t="str">
        <f t="shared" si="9"/>
        <v/>
      </c>
      <c r="W51" s="61" t="str">
        <f t="shared" ca="1" si="10"/>
        <v/>
      </c>
      <c r="X51" s="67">
        <f t="shared" si="11"/>
        <v>-1</v>
      </c>
      <c r="Y51" s="68" t="str">
        <f t="shared" si="12"/>
        <v/>
      </c>
      <c r="Z51" s="70" t="str">
        <f t="shared" si="13"/>
        <v/>
      </c>
      <c r="AA51" s="70" t="str">
        <f t="shared" si="14"/>
        <v/>
      </c>
      <c r="AB51" s="69" t="str">
        <f t="shared" si="15"/>
        <v/>
      </c>
      <c r="AC51" s="70" t="str">
        <f t="shared" si="16"/>
        <v/>
      </c>
      <c r="AD51" s="70" t="str">
        <f t="shared" si="17"/>
        <v/>
      </c>
    </row>
    <row r="52" spans="3:30" x14ac:dyDescent="0.25">
      <c r="C52" s="57" cm="1">
        <f t="array" ref="C52">IF(C51=-1,-1,
    IF(C51&lt;income_max_row,C51+1,
       IF(C51=income_max_row,income_total_row,
          IF(C51=income_total_row,"/1",
             IF(C51="/1",expenses_header_row,
                IF(C51&lt;expenses_max_row,C51+1,
                   IF(C51=expenses_max_row,expenses_total_row,
                      IF(C51=expenses_total_row,"/2",
                         IF(C51="/2",savings_header_row,
                            IF(C51&lt;savings_max_row,C51+1,
                               IF(C51=savings_max_row,savings_total_row,-1)))))))))))</f>
        <v>-1</v>
      </c>
      <c r="D52" s="24">
        <f t="shared" si="0"/>
        <v>-1</v>
      </c>
      <c r="E52" s="62" cm="1">
        <f t="array" ref="E52">1*OR(row_id=income_header_row,row_id=expenses_header_row,row_id=savings_header_row)</f>
        <v>0</v>
      </c>
      <c r="F52" s="24">
        <f t="shared" si="18"/>
        <v>0</v>
      </c>
      <c r="G52" s="24" cm="1">
        <f t="array" ref="G52">OR(row_id=income_total_row,row_id=expenses_total_row,row_id=savings_total_row)*1</f>
        <v>0</v>
      </c>
      <c r="H52" s="61">
        <f t="shared" si="1"/>
        <v>1</v>
      </c>
      <c r="I52" s="24" t="str" cm="1">
        <f t="array" ref="I52">IFERROR(INDEX('Budget Planning'!C:C,header_row_id),"")</f>
        <v/>
      </c>
      <c r="J52" s="24" t="str" cm="1">
        <f t="array" ref="J52">IFERROR(INDEX('Budget Planning'!C:C,row_id),"")</f>
        <v/>
      </c>
      <c r="K52" s="35" t="str" cm="1">
        <f t="array" ref="K52">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2" s="24" t="str" cm="1">
        <f t="array" ref="L52">IF(OR(is_header,is_empty),"",
INDEX('Budget Planning'!$E:$CI,row_id,
MATCH(IF(selected_period="Total Year",selected_year,DATE(selected_year,selected_period,1)),'Budget Planning'!$E$9:$CI$9,0)))</f>
        <v/>
      </c>
      <c r="M52" s="62" t="str" cm="1">
        <f t="array" ref="M52">IF(is_cat,
IF(header_row_id=income_header_row,MATCH(income_min_row,$C:$C,0),
   IF(header_row_id=expenses_header_row,MATCH(expenses_min_row,$C:$C,0),
      IF(header_row_id=savings_header_row,MATCH(savings_min_row,$C:$C,0),""))),"")</f>
        <v/>
      </c>
      <c r="N52" s="24" t="str" cm="1">
        <f t="array" ref="N52">IF(is_cat,
IF(header_row_id=income_header_row,MATCH(income_max_row,$C:$C,0),
   IF(header_row_id=expenses_header_row,MATCH(expenses_max_row,$C:$C,0),
      IF(header_row_id=savings_header_row,MATCH(savings_max_row,$C:$C,0),""))),"")</f>
        <v/>
      </c>
      <c r="O52" s="62" t="str">
        <f t="shared" si="2"/>
        <v/>
      </c>
      <c r="P52" s="24" t="str">
        <f t="shared" ca="1" si="3"/>
        <v/>
      </c>
      <c r="Q52" s="24" t="str">
        <f t="shared" si="4"/>
        <v/>
      </c>
      <c r="R52" s="24" t="str">
        <f t="shared" ca="1" si="5"/>
        <v/>
      </c>
      <c r="S52" s="62" t="str">
        <f t="shared" si="6"/>
        <v/>
      </c>
      <c r="T52" s="24" t="str">
        <f t="shared" si="7"/>
        <v/>
      </c>
      <c r="U52" s="24" t="str">
        <f t="shared" ca="1" si="8"/>
        <v/>
      </c>
      <c r="V52" s="24" t="str">
        <f t="shared" si="9"/>
        <v/>
      </c>
      <c r="W52" s="61" t="str">
        <f t="shared" ca="1" si="10"/>
        <v/>
      </c>
      <c r="X52" s="67">
        <f t="shared" si="11"/>
        <v>-1</v>
      </c>
      <c r="Y52" s="68" t="str">
        <f t="shared" si="12"/>
        <v/>
      </c>
      <c r="Z52" s="70" t="str">
        <f t="shared" si="13"/>
        <v/>
      </c>
      <c r="AA52" s="70" t="str">
        <f t="shared" si="14"/>
        <v/>
      </c>
      <c r="AB52" s="69" t="str">
        <f t="shared" si="15"/>
        <v/>
      </c>
      <c r="AC52" s="70" t="str">
        <f t="shared" si="16"/>
        <v/>
      </c>
      <c r="AD52" s="70" t="str">
        <f t="shared" si="17"/>
        <v/>
      </c>
    </row>
    <row r="53" spans="3:30" x14ac:dyDescent="0.25">
      <c r="C53" s="57" cm="1">
        <f t="array" ref="C53">IF(C52=-1,-1,
    IF(C52&lt;income_max_row,C52+1,
       IF(C52=income_max_row,income_total_row,
          IF(C52=income_total_row,"/1",
             IF(C52="/1",expenses_header_row,
                IF(C52&lt;expenses_max_row,C52+1,
                   IF(C52=expenses_max_row,expenses_total_row,
                      IF(C52=expenses_total_row,"/2",
                         IF(C52="/2",savings_header_row,
                            IF(C52&lt;savings_max_row,C52+1,
                               IF(C52=savings_max_row,savings_total_row,-1)))))))))))</f>
        <v>-1</v>
      </c>
      <c r="D53" s="24">
        <f t="shared" si="0"/>
        <v>-1</v>
      </c>
      <c r="E53" s="62" cm="1">
        <f t="array" ref="E53">1*OR(row_id=income_header_row,row_id=expenses_header_row,row_id=savings_header_row)</f>
        <v>0</v>
      </c>
      <c r="F53" s="24">
        <f t="shared" si="18"/>
        <v>0</v>
      </c>
      <c r="G53" s="24" cm="1">
        <f t="array" ref="G53">OR(row_id=income_total_row,row_id=expenses_total_row,row_id=savings_total_row)*1</f>
        <v>0</v>
      </c>
      <c r="H53" s="61">
        <f t="shared" si="1"/>
        <v>1</v>
      </c>
      <c r="I53" s="24" t="str" cm="1">
        <f t="array" ref="I53">IFERROR(INDEX('Budget Planning'!C:C,header_row_id),"")</f>
        <v/>
      </c>
      <c r="J53" s="24" t="str" cm="1">
        <f t="array" ref="J53">IFERROR(INDEX('Budget Planning'!C:C,row_id),"")</f>
        <v/>
      </c>
      <c r="K53" s="35" t="str" cm="1">
        <f t="array" ref="K53">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3" s="24" t="str" cm="1">
        <f t="array" ref="L53">IF(OR(is_header,is_empty),"",
INDEX('Budget Planning'!$E:$CI,row_id,
MATCH(IF(selected_period="Total Year",selected_year,DATE(selected_year,selected_period,1)),'Budget Planning'!$E$9:$CI$9,0)))</f>
        <v/>
      </c>
      <c r="M53" s="62" t="str" cm="1">
        <f t="array" ref="M53">IF(is_cat,
IF(header_row_id=income_header_row,MATCH(income_min_row,$C:$C,0),
   IF(header_row_id=expenses_header_row,MATCH(expenses_min_row,$C:$C,0),
      IF(header_row_id=savings_header_row,MATCH(savings_min_row,$C:$C,0),""))),"")</f>
        <v/>
      </c>
      <c r="N53" s="24" t="str" cm="1">
        <f t="array" ref="N53">IF(is_cat,
IF(header_row_id=income_header_row,MATCH(income_max_row,$C:$C,0),
   IF(header_row_id=expenses_header_row,MATCH(expenses_max_row,$C:$C,0),
      IF(header_row_id=savings_header_row,MATCH(savings_max_row,$C:$C,0),""))),"")</f>
        <v/>
      </c>
      <c r="O53" s="62" t="str">
        <f t="shared" si="2"/>
        <v/>
      </c>
      <c r="P53" s="24" t="str">
        <f t="shared" ca="1" si="3"/>
        <v/>
      </c>
      <c r="Q53" s="24" t="str">
        <f t="shared" si="4"/>
        <v/>
      </c>
      <c r="R53" s="24" t="str">
        <f t="shared" ca="1" si="5"/>
        <v/>
      </c>
      <c r="S53" s="62" t="str">
        <f t="shared" si="6"/>
        <v/>
      </c>
      <c r="T53" s="24" t="str">
        <f t="shared" si="7"/>
        <v/>
      </c>
      <c r="U53" s="24" t="str">
        <f t="shared" ca="1" si="8"/>
        <v/>
      </c>
      <c r="V53" s="24" t="str">
        <f t="shared" si="9"/>
        <v/>
      </c>
      <c r="W53" s="61" t="str">
        <f t="shared" ca="1" si="10"/>
        <v/>
      </c>
      <c r="X53" s="67">
        <f t="shared" si="11"/>
        <v>-1</v>
      </c>
      <c r="Y53" s="68" t="str">
        <f t="shared" si="12"/>
        <v/>
      </c>
      <c r="Z53" s="70" t="str">
        <f t="shared" si="13"/>
        <v/>
      </c>
      <c r="AA53" s="70" t="str">
        <f t="shared" si="14"/>
        <v/>
      </c>
      <c r="AB53" s="69" t="str">
        <f t="shared" si="15"/>
        <v/>
      </c>
      <c r="AC53" s="70" t="str">
        <f t="shared" si="16"/>
        <v/>
      </c>
      <c r="AD53" s="70" t="str">
        <f t="shared" si="17"/>
        <v/>
      </c>
    </row>
    <row r="54" spans="3:30" x14ac:dyDescent="0.25">
      <c r="C54" s="57" cm="1">
        <f t="array" ref="C54">IF(C53=-1,-1,
    IF(C53&lt;income_max_row,C53+1,
       IF(C53=income_max_row,income_total_row,
          IF(C53=income_total_row,"/1",
             IF(C53="/1",expenses_header_row,
                IF(C53&lt;expenses_max_row,C53+1,
                   IF(C53=expenses_max_row,expenses_total_row,
                      IF(C53=expenses_total_row,"/2",
                         IF(C53="/2",savings_header_row,
                            IF(C53&lt;savings_max_row,C53+1,
                               IF(C53=savings_max_row,savings_total_row,-1)))))))))))</f>
        <v>-1</v>
      </c>
      <c r="D54" s="24">
        <f t="shared" si="0"/>
        <v>-1</v>
      </c>
      <c r="E54" s="62" cm="1">
        <f t="array" ref="E54">1*OR(row_id=income_header_row,row_id=expenses_header_row,row_id=savings_header_row)</f>
        <v>0</v>
      </c>
      <c r="F54" s="24">
        <f t="shared" si="18"/>
        <v>0</v>
      </c>
      <c r="G54" s="24" cm="1">
        <f t="array" ref="G54">OR(row_id=income_total_row,row_id=expenses_total_row,row_id=savings_total_row)*1</f>
        <v>0</v>
      </c>
      <c r="H54" s="61">
        <f t="shared" si="1"/>
        <v>1</v>
      </c>
      <c r="I54" s="24" t="str" cm="1">
        <f t="array" ref="I54">IFERROR(INDEX('Budget Planning'!C:C,header_row_id),"")</f>
        <v/>
      </c>
      <c r="J54" s="24" t="str" cm="1">
        <f t="array" ref="J54">IFERROR(INDEX('Budget Planning'!C:C,row_id),"")</f>
        <v/>
      </c>
      <c r="K54" s="35" t="str" cm="1">
        <f t="array" ref="K54">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4" s="24" t="str" cm="1">
        <f t="array" ref="L54">IF(OR(is_header,is_empty),"",
INDEX('Budget Planning'!$E:$CI,row_id,
MATCH(IF(selected_period="Total Year",selected_year,DATE(selected_year,selected_period,1)),'Budget Planning'!$E$9:$CI$9,0)))</f>
        <v/>
      </c>
      <c r="M54" s="62" t="str" cm="1">
        <f t="array" ref="M54">IF(is_cat,
IF(header_row_id=income_header_row,MATCH(income_min_row,$C:$C,0),
   IF(header_row_id=expenses_header_row,MATCH(expenses_min_row,$C:$C,0),
      IF(header_row_id=savings_header_row,MATCH(savings_min_row,$C:$C,0),""))),"")</f>
        <v/>
      </c>
      <c r="N54" s="24" t="str" cm="1">
        <f t="array" ref="N54">IF(is_cat,
IF(header_row_id=income_header_row,MATCH(income_max_row,$C:$C,0),
   IF(header_row_id=expenses_header_row,MATCH(expenses_max_row,$C:$C,0),
      IF(header_row_id=savings_header_row,MATCH(savings_max_row,$C:$C,0),""))),"")</f>
        <v/>
      </c>
      <c r="O54" s="62" t="str">
        <f t="shared" si="2"/>
        <v/>
      </c>
      <c r="P54" s="24" t="str">
        <f t="shared" ca="1" si="3"/>
        <v/>
      </c>
      <c r="Q54" s="24" t="str">
        <f t="shared" si="4"/>
        <v/>
      </c>
      <c r="R54" s="24" t="str">
        <f t="shared" ca="1" si="5"/>
        <v/>
      </c>
      <c r="S54" s="62" t="str">
        <f t="shared" si="6"/>
        <v/>
      </c>
      <c r="T54" s="24" t="str">
        <f t="shared" si="7"/>
        <v/>
      </c>
      <c r="U54" s="24" t="str">
        <f t="shared" ca="1" si="8"/>
        <v/>
      </c>
      <c r="V54" s="24" t="str">
        <f t="shared" si="9"/>
        <v/>
      </c>
      <c r="W54" s="61" t="str">
        <f t="shared" ca="1" si="10"/>
        <v/>
      </c>
      <c r="X54" s="67">
        <f t="shared" si="11"/>
        <v>-1</v>
      </c>
      <c r="Y54" s="68" t="str">
        <f t="shared" si="12"/>
        <v/>
      </c>
      <c r="Z54" s="70" t="str">
        <f t="shared" si="13"/>
        <v/>
      </c>
      <c r="AA54" s="70" t="str">
        <f t="shared" si="14"/>
        <v/>
      </c>
      <c r="AB54" s="69" t="str">
        <f t="shared" si="15"/>
        <v/>
      </c>
      <c r="AC54" s="70" t="str">
        <f t="shared" si="16"/>
        <v/>
      </c>
      <c r="AD54" s="70" t="str">
        <f t="shared" si="17"/>
        <v/>
      </c>
    </row>
    <row r="55" spans="3:30" x14ac:dyDescent="0.25">
      <c r="C55" s="57" cm="1">
        <f t="array" ref="C55">IF(C54=-1,-1,
    IF(C54&lt;income_max_row,C54+1,
       IF(C54=income_max_row,income_total_row,
          IF(C54=income_total_row,"/1",
             IF(C54="/1",expenses_header_row,
                IF(C54&lt;expenses_max_row,C54+1,
                   IF(C54=expenses_max_row,expenses_total_row,
                      IF(C54=expenses_total_row,"/2",
                         IF(C54="/2",savings_header_row,
                            IF(C54&lt;savings_max_row,C54+1,
                               IF(C54=savings_max_row,savings_total_row,-1)))))))))))</f>
        <v>-1</v>
      </c>
      <c r="D55" s="24">
        <f t="shared" si="0"/>
        <v>-1</v>
      </c>
      <c r="E55" s="62" cm="1">
        <f t="array" ref="E55">1*OR(row_id=income_header_row,row_id=expenses_header_row,row_id=savings_header_row)</f>
        <v>0</v>
      </c>
      <c r="F55" s="24">
        <f t="shared" si="18"/>
        <v>0</v>
      </c>
      <c r="G55" s="24" cm="1">
        <f t="array" ref="G55">OR(row_id=income_total_row,row_id=expenses_total_row,row_id=savings_total_row)*1</f>
        <v>0</v>
      </c>
      <c r="H55" s="61">
        <f t="shared" si="1"/>
        <v>1</v>
      </c>
      <c r="I55" s="24" t="str" cm="1">
        <f t="array" ref="I55">IFERROR(INDEX('Budget Planning'!C:C,header_row_id),"")</f>
        <v/>
      </c>
      <c r="J55" s="24" t="str" cm="1">
        <f t="array" ref="J55">IFERROR(INDEX('Budget Planning'!C:C,row_id),"")</f>
        <v/>
      </c>
      <c r="K55" s="35" t="str" cm="1">
        <f t="array" ref="K55">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5" s="24" t="str" cm="1">
        <f t="array" ref="L55">IF(OR(is_header,is_empty),"",
INDEX('Budget Planning'!$E:$CI,row_id,
MATCH(IF(selected_period="Total Year",selected_year,DATE(selected_year,selected_period,1)),'Budget Planning'!$E$9:$CI$9,0)))</f>
        <v/>
      </c>
      <c r="M55" s="62" t="str" cm="1">
        <f t="array" ref="M55">IF(is_cat,
IF(header_row_id=income_header_row,MATCH(income_min_row,$C:$C,0),
   IF(header_row_id=expenses_header_row,MATCH(expenses_min_row,$C:$C,0),
      IF(header_row_id=savings_header_row,MATCH(savings_min_row,$C:$C,0),""))),"")</f>
        <v/>
      </c>
      <c r="N55" s="24" t="str" cm="1">
        <f t="array" ref="N55">IF(is_cat,
IF(header_row_id=income_header_row,MATCH(income_max_row,$C:$C,0),
   IF(header_row_id=expenses_header_row,MATCH(expenses_max_row,$C:$C,0),
      IF(header_row_id=savings_header_row,MATCH(savings_max_row,$C:$C,0),""))),"")</f>
        <v/>
      </c>
      <c r="O55" s="62" t="str">
        <f t="shared" si="2"/>
        <v/>
      </c>
      <c r="P55" s="24" t="str">
        <f t="shared" ca="1" si="3"/>
        <v/>
      </c>
      <c r="Q55" s="24" t="str">
        <f t="shared" si="4"/>
        <v/>
      </c>
      <c r="R55" s="24" t="str">
        <f t="shared" ca="1" si="5"/>
        <v/>
      </c>
      <c r="S55" s="62" t="str">
        <f t="shared" si="6"/>
        <v/>
      </c>
      <c r="T55" s="24" t="str">
        <f t="shared" si="7"/>
        <v/>
      </c>
      <c r="U55" s="24" t="str">
        <f t="shared" ca="1" si="8"/>
        <v/>
      </c>
      <c r="V55" s="24" t="str">
        <f t="shared" si="9"/>
        <v/>
      </c>
      <c r="W55" s="61" t="str">
        <f t="shared" ca="1" si="10"/>
        <v/>
      </c>
      <c r="X55" s="67">
        <f t="shared" si="11"/>
        <v>-1</v>
      </c>
      <c r="Y55" s="68" t="str">
        <f t="shared" si="12"/>
        <v/>
      </c>
      <c r="Z55" s="70" t="str">
        <f t="shared" si="13"/>
        <v/>
      </c>
      <c r="AA55" s="70" t="str">
        <f t="shared" si="14"/>
        <v/>
      </c>
      <c r="AB55" s="69" t="str">
        <f t="shared" si="15"/>
        <v/>
      </c>
      <c r="AC55" s="70" t="str">
        <f t="shared" si="16"/>
        <v/>
      </c>
      <c r="AD55" s="70" t="str">
        <f t="shared" si="17"/>
        <v/>
      </c>
    </row>
    <row r="56" spans="3:30" x14ac:dyDescent="0.25">
      <c r="C56" s="57" cm="1">
        <f t="array" ref="C56">IF(C55=-1,-1,
    IF(C55&lt;income_max_row,C55+1,
       IF(C55=income_max_row,income_total_row,
          IF(C55=income_total_row,"/1",
             IF(C55="/1",expenses_header_row,
                IF(C55&lt;expenses_max_row,C55+1,
                   IF(C55=expenses_max_row,expenses_total_row,
                      IF(C55=expenses_total_row,"/2",
                         IF(C55="/2",savings_header_row,
                            IF(C55&lt;savings_max_row,C55+1,
                               IF(C55=savings_max_row,savings_total_row,-1)))))))))))</f>
        <v>-1</v>
      </c>
      <c r="D56" s="24">
        <f t="shared" si="0"/>
        <v>-1</v>
      </c>
      <c r="E56" s="62" cm="1">
        <f t="array" ref="E56">1*OR(row_id=income_header_row,row_id=expenses_header_row,row_id=savings_header_row)</f>
        <v>0</v>
      </c>
      <c r="F56" s="24">
        <f t="shared" si="18"/>
        <v>0</v>
      </c>
      <c r="G56" s="24" cm="1">
        <f t="array" ref="G56">OR(row_id=income_total_row,row_id=expenses_total_row,row_id=savings_total_row)*1</f>
        <v>0</v>
      </c>
      <c r="H56" s="61">
        <f t="shared" si="1"/>
        <v>1</v>
      </c>
      <c r="I56" s="24" t="str" cm="1">
        <f t="array" ref="I56">IFERROR(INDEX('Budget Planning'!C:C,header_row_id),"")</f>
        <v/>
      </c>
      <c r="J56" s="24" t="str" cm="1">
        <f t="array" ref="J56">IFERROR(INDEX('Budget Planning'!C:C,row_id),"")</f>
        <v/>
      </c>
      <c r="K56" s="35" t="str" cm="1">
        <f t="array" ref="K56">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6" s="24" t="str" cm="1">
        <f t="array" ref="L56">IF(OR(is_header,is_empty),"",
INDEX('Budget Planning'!$E:$CI,row_id,
MATCH(IF(selected_period="Total Year",selected_year,DATE(selected_year,selected_period,1)),'Budget Planning'!$E$9:$CI$9,0)))</f>
        <v/>
      </c>
      <c r="M56" s="62" t="str" cm="1">
        <f t="array" ref="M56">IF(is_cat,
IF(header_row_id=income_header_row,MATCH(income_min_row,$C:$C,0),
   IF(header_row_id=expenses_header_row,MATCH(expenses_min_row,$C:$C,0),
      IF(header_row_id=savings_header_row,MATCH(savings_min_row,$C:$C,0),""))),"")</f>
        <v/>
      </c>
      <c r="N56" s="24" t="str" cm="1">
        <f t="array" ref="N56">IF(is_cat,
IF(header_row_id=income_header_row,MATCH(income_max_row,$C:$C,0),
   IF(header_row_id=expenses_header_row,MATCH(expenses_max_row,$C:$C,0),
      IF(header_row_id=savings_header_row,MATCH(savings_max_row,$C:$C,0),""))),"")</f>
        <v/>
      </c>
      <c r="O56" s="62" t="str">
        <f t="shared" si="2"/>
        <v/>
      </c>
      <c r="P56" s="24" t="str">
        <f t="shared" ca="1" si="3"/>
        <v/>
      </c>
      <c r="Q56" s="24" t="str">
        <f t="shared" si="4"/>
        <v/>
      </c>
      <c r="R56" s="24" t="str">
        <f t="shared" ca="1" si="5"/>
        <v/>
      </c>
      <c r="S56" s="62" t="str">
        <f t="shared" si="6"/>
        <v/>
      </c>
      <c r="T56" s="24" t="str">
        <f t="shared" si="7"/>
        <v/>
      </c>
      <c r="U56" s="24" t="str">
        <f t="shared" ca="1" si="8"/>
        <v/>
      </c>
      <c r="V56" s="24" t="str">
        <f t="shared" si="9"/>
        <v/>
      </c>
      <c r="W56" s="61" t="str">
        <f t="shared" ca="1" si="10"/>
        <v/>
      </c>
      <c r="X56" s="67">
        <f t="shared" si="11"/>
        <v>-1</v>
      </c>
      <c r="Y56" s="68" t="str">
        <f t="shared" si="12"/>
        <v/>
      </c>
      <c r="Z56" s="70" t="str">
        <f t="shared" si="13"/>
        <v/>
      </c>
      <c r="AA56" s="70" t="str">
        <f t="shared" si="14"/>
        <v/>
      </c>
      <c r="AB56" s="69" t="str">
        <f t="shared" si="15"/>
        <v/>
      </c>
      <c r="AC56" s="70" t="str">
        <f t="shared" si="16"/>
        <v/>
      </c>
      <c r="AD56" s="70" t="str">
        <f t="shared" si="17"/>
        <v/>
      </c>
    </row>
    <row r="57" spans="3:30" x14ac:dyDescent="0.25">
      <c r="C57" s="57" cm="1">
        <f t="array" ref="C57">IF(C56=-1,-1,
    IF(C56&lt;income_max_row,C56+1,
       IF(C56=income_max_row,income_total_row,
          IF(C56=income_total_row,"/1",
             IF(C56="/1",expenses_header_row,
                IF(C56&lt;expenses_max_row,C56+1,
                   IF(C56=expenses_max_row,expenses_total_row,
                      IF(C56=expenses_total_row,"/2",
                         IF(C56="/2",savings_header_row,
                            IF(C56&lt;savings_max_row,C56+1,
                               IF(C56=savings_max_row,savings_total_row,-1)))))))))))</f>
        <v>-1</v>
      </c>
      <c r="D57" s="24">
        <f t="shared" si="0"/>
        <v>-1</v>
      </c>
      <c r="E57" s="62" cm="1">
        <f t="array" ref="E57">1*OR(row_id=income_header_row,row_id=expenses_header_row,row_id=savings_header_row)</f>
        <v>0</v>
      </c>
      <c r="F57" s="24">
        <f t="shared" si="18"/>
        <v>0</v>
      </c>
      <c r="G57" s="24" cm="1">
        <f t="array" ref="G57">OR(row_id=income_total_row,row_id=expenses_total_row,row_id=savings_total_row)*1</f>
        <v>0</v>
      </c>
      <c r="H57" s="61">
        <f t="shared" si="1"/>
        <v>1</v>
      </c>
      <c r="I57" s="24" t="str" cm="1">
        <f t="array" ref="I57">IFERROR(INDEX('Budget Planning'!C:C,header_row_id),"")</f>
        <v/>
      </c>
      <c r="J57" s="24" t="str" cm="1">
        <f t="array" ref="J57">IFERROR(INDEX('Budget Planning'!C:C,row_id),"")</f>
        <v/>
      </c>
      <c r="K57" s="35" t="str" cm="1">
        <f t="array" ref="K57">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7" s="24" t="str" cm="1">
        <f t="array" ref="L57">IF(OR(is_header,is_empty),"",
INDEX('Budget Planning'!$E:$CI,row_id,
MATCH(IF(selected_period="Total Year",selected_year,DATE(selected_year,selected_period,1)),'Budget Planning'!$E$9:$CI$9,0)))</f>
        <v/>
      </c>
      <c r="M57" s="62" t="str" cm="1">
        <f t="array" ref="M57">IF(is_cat,
IF(header_row_id=income_header_row,MATCH(income_min_row,$C:$C,0),
   IF(header_row_id=expenses_header_row,MATCH(expenses_min_row,$C:$C,0),
      IF(header_row_id=savings_header_row,MATCH(savings_min_row,$C:$C,0),""))),"")</f>
        <v/>
      </c>
      <c r="N57" s="24" t="str" cm="1">
        <f t="array" ref="N57">IF(is_cat,
IF(header_row_id=income_header_row,MATCH(income_max_row,$C:$C,0),
   IF(header_row_id=expenses_header_row,MATCH(expenses_max_row,$C:$C,0),
      IF(header_row_id=savings_header_row,MATCH(savings_max_row,$C:$C,0),""))),"")</f>
        <v/>
      </c>
      <c r="O57" s="62" t="str">
        <f t="shared" si="2"/>
        <v/>
      </c>
      <c r="P57" s="24" t="str">
        <f t="shared" ca="1" si="3"/>
        <v/>
      </c>
      <c r="Q57" s="24" t="str">
        <f t="shared" si="4"/>
        <v/>
      </c>
      <c r="R57" s="24" t="str">
        <f t="shared" ca="1" si="5"/>
        <v/>
      </c>
      <c r="S57" s="62" t="str">
        <f t="shared" si="6"/>
        <v/>
      </c>
      <c r="T57" s="24" t="str">
        <f t="shared" si="7"/>
        <v/>
      </c>
      <c r="U57" s="24" t="str">
        <f t="shared" ca="1" si="8"/>
        <v/>
      </c>
      <c r="V57" s="24" t="str">
        <f t="shared" si="9"/>
        <v/>
      </c>
      <c r="W57" s="61" t="str">
        <f t="shared" ca="1" si="10"/>
        <v/>
      </c>
      <c r="X57" s="67">
        <f t="shared" si="11"/>
        <v>-1</v>
      </c>
      <c r="Y57" s="68" t="str">
        <f t="shared" si="12"/>
        <v/>
      </c>
      <c r="Z57" s="70" t="str">
        <f t="shared" si="13"/>
        <v/>
      </c>
      <c r="AA57" s="70" t="str">
        <f t="shared" si="14"/>
        <v/>
      </c>
      <c r="AB57" s="69" t="str">
        <f t="shared" si="15"/>
        <v/>
      </c>
      <c r="AC57" s="70" t="str">
        <f t="shared" si="16"/>
        <v/>
      </c>
      <c r="AD57" s="70" t="str">
        <f t="shared" si="17"/>
        <v/>
      </c>
    </row>
    <row r="58" spans="3:30" x14ac:dyDescent="0.25">
      <c r="C58" s="57" cm="1">
        <f t="array" ref="C58">IF(C57=-1,-1,
    IF(C57&lt;income_max_row,C57+1,
       IF(C57=income_max_row,income_total_row,
          IF(C57=income_total_row,"/1",
             IF(C57="/1",expenses_header_row,
                IF(C57&lt;expenses_max_row,C57+1,
                   IF(C57=expenses_max_row,expenses_total_row,
                      IF(C57=expenses_total_row,"/2",
                         IF(C57="/2",savings_header_row,
                            IF(C57&lt;savings_max_row,C57+1,
                               IF(C57=savings_max_row,savings_total_row,-1)))))))))))</f>
        <v>-1</v>
      </c>
      <c r="D58" s="24">
        <f t="shared" si="0"/>
        <v>-1</v>
      </c>
      <c r="E58" s="62" cm="1">
        <f t="array" ref="E58">1*OR(row_id=income_header_row,row_id=expenses_header_row,row_id=savings_header_row)</f>
        <v>0</v>
      </c>
      <c r="F58" s="24">
        <f t="shared" si="18"/>
        <v>0</v>
      </c>
      <c r="G58" s="24" cm="1">
        <f t="array" ref="G58">OR(row_id=income_total_row,row_id=expenses_total_row,row_id=savings_total_row)*1</f>
        <v>0</v>
      </c>
      <c r="H58" s="61">
        <f t="shared" si="1"/>
        <v>1</v>
      </c>
      <c r="I58" s="24" t="str" cm="1">
        <f t="array" ref="I58">IFERROR(INDEX('Budget Planning'!C:C,header_row_id),"")</f>
        <v/>
      </c>
      <c r="J58" s="24" t="str" cm="1">
        <f t="array" ref="J58">IFERROR(INDEX('Budget Planning'!C:C,row_id),"")</f>
        <v/>
      </c>
      <c r="K58" s="35" t="str" cm="1">
        <f t="array" ref="K58">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8" s="24" t="str" cm="1">
        <f t="array" ref="L58">IF(OR(is_header,is_empty),"",
INDEX('Budget Planning'!$E:$CI,row_id,
MATCH(IF(selected_period="Total Year",selected_year,DATE(selected_year,selected_period,1)),'Budget Planning'!$E$9:$CI$9,0)))</f>
        <v/>
      </c>
      <c r="M58" s="62" t="str" cm="1">
        <f t="array" ref="M58">IF(is_cat,
IF(header_row_id=income_header_row,MATCH(income_min_row,$C:$C,0),
   IF(header_row_id=expenses_header_row,MATCH(expenses_min_row,$C:$C,0),
      IF(header_row_id=savings_header_row,MATCH(savings_min_row,$C:$C,0),""))),"")</f>
        <v/>
      </c>
      <c r="N58" s="24" t="str" cm="1">
        <f t="array" ref="N58">IF(is_cat,
IF(header_row_id=income_header_row,MATCH(income_max_row,$C:$C,0),
   IF(header_row_id=expenses_header_row,MATCH(expenses_max_row,$C:$C,0),
      IF(header_row_id=savings_header_row,MATCH(savings_max_row,$C:$C,0),""))),"")</f>
        <v/>
      </c>
      <c r="O58" s="62" t="str">
        <f t="shared" si="2"/>
        <v/>
      </c>
      <c r="P58" s="24" t="str">
        <f t="shared" ca="1" si="3"/>
        <v/>
      </c>
      <c r="Q58" s="24" t="str">
        <f t="shared" si="4"/>
        <v/>
      </c>
      <c r="R58" s="24" t="str">
        <f t="shared" ca="1" si="5"/>
        <v/>
      </c>
      <c r="S58" s="62" t="str">
        <f t="shared" si="6"/>
        <v/>
      </c>
      <c r="T58" s="24" t="str">
        <f t="shared" si="7"/>
        <v/>
      </c>
      <c r="U58" s="24" t="str">
        <f t="shared" ca="1" si="8"/>
        <v/>
      </c>
      <c r="V58" s="24" t="str">
        <f t="shared" si="9"/>
        <v/>
      </c>
      <c r="W58" s="61" t="str">
        <f t="shared" ca="1" si="10"/>
        <v/>
      </c>
      <c r="X58" s="67">
        <f t="shared" si="11"/>
        <v>-1</v>
      </c>
      <c r="Y58" s="68" t="str">
        <f t="shared" si="12"/>
        <v/>
      </c>
      <c r="Z58" s="70" t="str">
        <f t="shared" si="13"/>
        <v/>
      </c>
      <c r="AA58" s="70" t="str">
        <f t="shared" si="14"/>
        <v/>
      </c>
      <c r="AB58" s="69" t="str">
        <f t="shared" si="15"/>
        <v/>
      </c>
      <c r="AC58" s="70" t="str">
        <f t="shared" si="16"/>
        <v/>
      </c>
      <c r="AD58" s="70" t="str">
        <f t="shared" si="17"/>
        <v/>
      </c>
    </row>
    <row r="59" spans="3:30" x14ac:dyDescent="0.25">
      <c r="C59" s="57" cm="1">
        <f t="array" ref="C59">IF(C58=-1,-1,
    IF(C58&lt;income_max_row,C58+1,
       IF(C58=income_max_row,income_total_row,
          IF(C58=income_total_row,"/1",
             IF(C58="/1",expenses_header_row,
                IF(C58&lt;expenses_max_row,C58+1,
                   IF(C58=expenses_max_row,expenses_total_row,
                      IF(C58=expenses_total_row,"/2",
                         IF(C58="/2",savings_header_row,
                            IF(C58&lt;savings_max_row,C58+1,
                               IF(C58=savings_max_row,savings_total_row,-1)))))))))))</f>
        <v>-1</v>
      </c>
      <c r="D59" s="24">
        <f t="shared" si="0"/>
        <v>-1</v>
      </c>
      <c r="E59" s="62" cm="1">
        <f t="array" ref="E59">1*OR(row_id=income_header_row,row_id=expenses_header_row,row_id=savings_header_row)</f>
        <v>0</v>
      </c>
      <c r="F59" s="24">
        <f t="shared" si="18"/>
        <v>0</v>
      </c>
      <c r="G59" s="24" cm="1">
        <f t="array" ref="G59">OR(row_id=income_total_row,row_id=expenses_total_row,row_id=savings_total_row)*1</f>
        <v>0</v>
      </c>
      <c r="H59" s="61">
        <f t="shared" si="1"/>
        <v>1</v>
      </c>
      <c r="I59" s="24" t="str" cm="1">
        <f t="array" ref="I59">IFERROR(INDEX('Budget Planning'!C:C,header_row_id),"")</f>
        <v/>
      </c>
      <c r="J59" s="24" t="str" cm="1">
        <f t="array" ref="J59">IFERROR(INDEX('Budget Planning'!C:C,row_id),"")</f>
        <v/>
      </c>
      <c r="K59" s="35" t="str" cm="1">
        <f t="array" ref="K59">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59" s="24" t="str" cm="1">
        <f t="array" ref="L59">IF(OR(is_header,is_empty),"",
INDEX('Budget Planning'!$E:$CI,row_id,
MATCH(IF(selected_period="Total Year",selected_year,DATE(selected_year,selected_period,1)),'Budget Planning'!$E$9:$CI$9,0)))</f>
        <v/>
      </c>
      <c r="M59" s="62" t="str" cm="1">
        <f t="array" ref="M59">IF(is_cat,
IF(header_row_id=income_header_row,MATCH(income_min_row,$C:$C,0),
   IF(header_row_id=expenses_header_row,MATCH(expenses_min_row,$C:$C,0),
      IF(header_row_id=savings_header_row,MATCH(savings_min_row,$C:$C,0),""))),"")</f>
        <v/>
      </c>
      <c r="N59" s="24" t="str" cm="1">
        <f t="array" ref="N59">IF(is_cat,
IF(header_row_id=income_header_row,MATCH(income_max_row,$C:$C,0),
   IF(header_row_id=expenses_header_row,MATCH(expenses_max_row,$C:$C,0),
      IF(header_row_id=savings_header_row,MATCH(savings_max_row,$C:$C,0),""))),"")</f>
        <v/>
      </c>
      <c r="O59" s="62" t="str">
        <f t="shared" si="2"/>
        <v/>
      </c>
      <c r="P59" s="24" t="str">
        <f t="shared" ca="1" si="3"/>
        <v/>
      </c>
      <c r="Q59" s="24" t="str">
        <f t="shared" si="4"/>
        <v/>
      </c>
      <c r="R59" s="24" t="str">
        <f t="shared" ca="1" si="5"/>
        <v/>
      </c>
      <c r="S59" s="62" t="str">
        <f t="shared" si="6"/>
        <v/>
      </c>
      <c r="T59" s="24" t="str">
        <f t="shared" si="7"/>
        <v/>
      </c>
      <c r="U59" s="24" t="str">
        <f t="shared" ca="1" si="8"/>
        <v/>
      </c>
      <c r="V59" s="24" t="str">
        <f t="shared" si="9"/>
        <v/>
      </c>
      <c r="W59" s="61" t="str">
        <f t="shared" ca="1" si="10"/>
        <v/>
      </c>
      <c r="X59" s="67">
        <f t="shared" si="11"/>
        <v>-1</v>
      </c>
      <c r="Y59" s="68" t="str">
        <f t="shared" si="12"/>
        <v/>
      </c>
      <c r="Z59" s="70" t="str">
        <f t="shared" si="13"/>
        <v/>
      </c>
      <c r="AA59" s="70" t="str">
        <f t="shared" si="14"/>
        <v/>
      </c>
      <c r="AB59" s="69" t="str">
        <f t="shared" si="15"/>
        <v/>
      </c>
      <c r="AC59" s="70" t="str">
        <f t="shared" si="16"/>
        <v/>
      </c>
      <c r="AD59" s="70" t="str">
        <f t="shared" si="17"/>
        <v/>
      </c>
    </row>
    <row r="60" spans="3:30" x14ac:dyDescent="0.25">
      <c r="C60" s="64" cm="1">
        <f t="array" ref="C60">IF(C59=-1,-1,
    IF(C59&lt;income_max_row,C59+1,
       IF(C59=income_max_row,income_total_row,
          IF(C59=income_total_row,"/1",
             IF(C59="/1",expenses_header_row,
                IF(C59&lt;expenses_max_row,C59+1,
                   IF(C59=expenses_max_row,expenses_total_row,
                      IF(C59=expenses_total_row,"/2",
                         IF(C59="/2",savings_header_row,
                            IF(C59&lt;savings_max_row,C59+1,
                               IF(C59=savings_max_row,savings_total_row,-1)))))))))))</f>
        <v>-1</v>
      </c>
      <c r="D60" s="42">
        <f t="shared" si="0"/>
        <v>-1</v>
      </c>
      <c r="E60" s="63" cm="1">
        <f t="array" ref="E60">1*OR(row_id=income_header_row,row_id=expenses_header_row,row_id=savings_header_row)</f>
        <v>0</v>
      </c>
      <c r="F60" s="42">
        <f t="shared" si="18"/>
        <v>0</v>
      </c>
      <c r="G60" s="42" cm="1">
        <f t="array" ref="G60">OR(row_id=income_total_row,row_id=expenses_total_row,row_id=savings_total_row)*1</f>
        <v>0</v>
      </c>
      <c r="H60" s="44">
        <f t="shared" si="1"/>
        <v>1</v>
      </c>
      <c r="I60" s="42" t="str" cm="1">
        <f t="array" ref="I60">IFERROR(INDEX('Budget Planning'!C:C,header_row_id),"")</f>
        <v/>
      </c>
      <c r="J60" s="42" t="str" cm="1">
        <f t="array" ref="J60">IFERROR(INDEX('Budget Planning'!C:C,row_id),"")</f>
        <v/>
      </c>
      <c r="K60" s="43" t="str" cm="1">
        <f t="array" ref="K60">IF(OR(is_empty,is_header),"",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
))</f>
        <v/>
      </c>
      <c r="L60" s="44" t="str" cm="1">
        <f t="array" ref="L60">IF(OR(is_header,is_empty),"",
INDEX('Budget Planning'!$E:$CI,row_id,
MATCH(IF(selected_period="Total Year",selected_year,DATE(selected_year,selected_period,1)),'Budget Planning'!$E$9:$CI$9,0)))</f>
        <v/>
      </c>
      <c r="M60" s="63" t="str" cm="1">
        <f t="array" ref="M60">IF(is_cat,
IF(header_row_id=income_header_row,MATCH(income_min_row,$C:$C,0),
   IF(header_row_id=expenses_header_row,MATCH(expenses_min_row,$C:$C,0),
      IF(header_row_id=savings_header_row,MATCH(savings_min_row,$C:$C,0),""))),"")</f>
        <v/>
      </c>
      <c r="N60" s="42" t="str" cm="1">
        <f t="array" ref="N60">IF(is_cat,
IF(header_row_id=income_header_row,MATCH(income_max_row,$C:$C,0),
   IF(header_row_id=expenses_header_row,MATCH(expenses_max_row,$C:$C,0),
      IF(header_row_id=savings_header_row,MATCH(savings_max_row,$C:$C,0),""))),"")</f>
        <v/>
      </c>
      <c r="O60" s="63" t="str">
        <f t="shared" si="2"/>
        <v/>
      </c>
      <c r="P60" s="42" t="str">
        <f t="shared" ca="1" si="3"/>
        <v/>
      </c>
      <c r="Q60" s="42" t="str">
        <f t="shared" si="4"/>
        <v/>
      </c>
      <c r="R60" s="44" t="str">
        <f t="shared" ca="1" si="5"/>
        <v/>
      </c>
      <c r="S60" s="63" t="str">
        <f t="shared" si="6"/>
        <v/>
      </c>
      <c r="T60" s="42" t="str">
        <f t="shared" si="7"/>
        <v/>
      </c>
      <c r="U60" s="42" t="str">
        <f t="shared" ca="1" si="8"/>
        <v/>
      </c>
      <c r="V60" s="42" t="str">
        <f t="shared" si="9"/>
        <v/>
      </c>
      <c r="W60" s="44" t="str">
        <f t="shared" ca="1" si="10"/>
        <v/>
      </c>
      <c r="X60" s="67">
        <f t="shared" si="11"/>
        <v>-1</v>
      </c>
      <c r="Y60" s="68" t="str">
        <f t="shared" si="12"/>
        <v/>
      </c>
      <c r="Z60" s="70" t="str">
        <f t="shared" si="13"/>
        <v/>
      </c>
      <c r="AA60" s="70" t="str">
        <f t="shared" si="14"/>
        <v/>
      </c>
      <c r="AB60" s="69" t="str">
        <f t="shared" si="15"/>
        <v/>
      </c>
      <c r="AC60" s="70" t="str">
        <f t="shared" si="16"/>
        <v/>
      </c>
      <c r="AD60" s="70" t="str">
        <f t="shared" si="17"/>
        <v/>
      </c>
    </row>
  </sheetData>
  <mergeCells count="8">
    <mergeCell ref="Y11:AD11"/>
    <mergeCell ref="AF11:AR11"/>
    <mergeCell ref="AQ5:AR5"/>
    <mergeCell ref="AN6:AP6"/>
    <mergeCell ref="AQ6:AR6"/>
    <mergeCell ref="AQ8:AR8"/>
    <mergeCell ref="AN9:AP9"/>
    <mergeCell ref="AQ9:AR9"/>
  </mergeCells>
  <conditionalFormatting sqref="Y13:AD60">
    <cfRule type="expression" dxfId="7" priority="1" stopIfTrue="1">
      <formula>row_id=income_header_row</formula>
    </cfRule>
    <cfRule type="expression" dxfId="6" priority="2" stopIfTrue="1">
      <formula>row_id=expenses_header_row</formula>
    </cfRule>
    <cfRule type="expression" dxfId="5" priority="5" stopIfTrue="1">
      <formula>row_id=savings_header_row</formula>
    </cfRule>
    <cfRule type="expression" dxfId="4" priority="6">
      <formula>is_total</formula>
    </cfRule>
  </conditionalFormatting>
  <conditionalFormatting sqref="AB13:AB60">
    <cfRule type="expression" dxfId="3" priority="7" stopIfTrue="1">
      <formula>-AND(OR(is_cat,is_total),out_budget &gt; 0, out_percentage_completed &gt;=1, header_row_id=income_header_row)</formula>
    </cfRule>
    <cfRule type="expression" dxfId="2" priority="8" stopIfTrue="1">
      <formula>-AND(OR(is_cat,is_total),out_budget &gt; 0, out_percentage_completed &gt;=1, header_row_id=expenses_header_row)</formula>
    </cfRule>
    <cfRule type="expression" dxfId="1" priority="9" stopIfTrue="1">
      <formula>-AND(OR(is_cat,is_total),out_budget &gt; 0, out_percentage_completed &gt;=1, header_row_id=savings_header_row)</formula>
    </cfRule>
    <cfRule type="dataBar" priority="10">
      <dataBar>
        <cfvo type="num" val="0"/>
        <cfvo type="num" val="1"/>
        <color theme="2" tint="-9.9978637043366805E-2"/>
      </dataBar>
      <extLst>
        <ext xmlns:x14="http://schemas.microsoft.com/office/spreadsheetml/2009/9/main" uri="{B025F937-C7B1-47D3-B67F-A62EFF666E3E}">
          <x14:id>{B46F1C10-4EED-4DBA-98AB-A5398B3E60D6}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46F1C10-4EED-4DBA-98AB-A5398B3E60D6}">
            <x14:dataBar minLength="0" maxLength="100" gradient="0">
              <x14:cfvo type="num">
                <xm:f>0</xm:f>
              </x14:cfvo>
              <x14:cfvo type="num">
                <xm:f>1</xm:f>
              </x14:cfvo>
              <x14:negativeFillColor rgb="FFFF0000"/>
              <x14:axisColor rgb="FF000000"/>
            </x14:dataBar>
          </x14:cfRule>
          <xm:sqref>AB13:AB60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CB0FCDF-FDE2-4388-81EE-76C128524FA4}">
          <x14:formula1>
            <xm:f>'Dropdown Data'!$B$7:$B$19</xm:f>
          </x14:formula1>
          <xm:sqref>AQ6:AR6</xm:sqref>
        </x14:dataValidation>
        <x14:dataValidation type="list" allowBlank="1" showInputMessage="1" showErrorMessage="1" xr:uid="{92201187-663C-4F11-A706-417F75EBFD49}">
          <x14:formula1>
            <xm:f>'Dropdown Data'!$D$7:$D$20</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ED74-20CD-436A-B8E9-DC9EA680080B}">
  <dimension ref="A1:D20"/>
  <sheetViews>
    <sheetView workbookViewId="0">
      <selection activeCell="B6" sqref="B6"/>
    </sheetView>
  </sheetViews>
  <sheetFormatPr defaultRowHeight="15" x14ac:dyDescent="0.25"/>
  <cols>
    <col min="1" max="1" width="15.5703125" style="24" customWidth="1"/>
    <col min="2" max="2" width="20.28515625" style="24" customWidth="1"/>
    <col min="3" max="3" width="9.140625" style="24"/>
    <col min="4" max="4" width="24.28515625" style="24" customWidth="1"/>
    <col min="5" max="16384" width="9.140625" style="24"/>
  </cols>
  <sheetData>
    <row r="1" spans="1:4" s="45" customFormat="1" ht="15" customHeight="1" x14ac:dyDescent="0.25">
      <c r="A1" s="90" t="s">
        <v>55</v>
      </c>
      <c r="B1" s="90"/>
      <c r="C1" s="46"/>
    </row>
    <row r="2" spans="1:4" s="45" customFormat="1" ht="15" customHeight="1" x14ac:dyDescent="0.25">
      <c r="A2" s="90"/>
      <c r="B2" s="90"/>
      <c r="C2" s="46"/>
    </row>
    <row r="3" spans="1:4" s="45" customFormat="1" ht="15" customHeight="1" x14ac:dyDescent="0.25">
      <c r="A3" s="90"/>
      <c r="B3" s="90"/>
      <c r="C3" s="46"/>
    </row>
    <row r="6" spans="1:4" x14ac:dyDescent="0.25">
      <c r="B6" s="49" t="s">
        <v>56</v>
      </c>
      <c r="D6" s="49" t="s">
        <v>57</v>
      </c>
    </row>
    <row r="7" spans="1:4" x14ac:dyDescent="0.25">
      <c r="B7" s="47" t="s">
        <v>40</v>
      </c>
      <c r="D7" s="50" t="s">
        <v>43</v>
      </c>
    </row>
    <row r="8" spans="1:4" x14ac:dyDescent="0.25">
      <c r="B8" s="47">
        <v>2025</v>
      </c>
      <c r="D8" s="50" t="s">
        <v>58</v>
      </c>
    </row>
    <row r="9" spans="1:4" x14ac:dyDescent="0.25">
      <c r="B9" s="47">
        <v>2026</v>
      </c>
      <c r="D9" s="50">
        <v>36526</v>
      </c>
    </row>
    <row r="10" spans="1:4" x14ac:dyDescent="0.25">
      <c r="B10" s="47">
        <v>2027</v>
      </c>
      <c r="D10" s="50">
        <v>36557</v>
      </c>
    </row>
    <row r="11" spans="1:4" x14ac:dyDescent="0.25">
      <c r="B11" s="47">
        <v>2028</v>
      </c>
      <c r="D11" s="50">
        <v>36586</v>
      </c>
    </row>
    <row r="12" spans="1:4" x14ac:dyDescent="0.25">
      <c r="B12" s="47">
        <v>2029</v>
      </c>
      <c r="D12" s="50">
        <v>36617</v>
      </c>
    </row>
    <row r="13" spans="1:4" x14ac:dyDescent="0.25">
      <c r="B13" s="47">
        <v>2030</v>
      </c>
      <c r="D13" s="50">
        <v>36647</v>
      </c>
    </row>
    <row r="14" spans="1:4" x14ac:dyDescent="0.25">
      <c r="B14" s="47">
        <v>2031</v>
      </c>
      <c r="D14" s="50">
        <v>36678</v>
      </c>
    </row>
    <row r="15" spans="1:4" x14ac:dyDescent="0.25">
      <c r="B15" s="47">
        <v>2032</v>
      </c>
      <c r="D15" s="50">
        <v>36708</v>
      </c>
    </row>
    <row r="16" spans="1:4" x14ac:dyDescent="0.25">
      <c r="B16" s="47">
        <v>2033</v>
      </c>
      <c r="D16" s="50">
        <v>36739</v>
      </c>
    </row>
    <row r="17" spans="2:4" x14ac:dyDescent="0.25">
      <c r="B17" s="47">
        <v>2034</v>
      </c>
      <c r="D17" s="50">
        <v>36770</v>
      </c>
    </row>
    <row r="18" spans="2:4" x14ac:dyDescent="0.25">
      <c r="B18" s="47">
        <v>2035</v>
      </c>
      <c r="D18" s="50">
        <v>36800</v>
      </c>
    </row>
    <row r="19" spans="2:4" x14ac:dyDescent="0.25">
      <c r="B19" s="48">
        <v>2036</v>
      </c>
      <c r="D19" s="50">
        <v>36831</v>
      </c>
    </row>
    <row r="20" spans="2:4" x14ac:dyDescent="0.25">
      <c r="D20" s="51">
        <v>36861</v>
      </c>
    </row>
  </sheetData>
  <mergeCells count="1">
    <mergeCell ref="A1: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C24E-FF38-497E-AC3F-DDE510D17FA7}">
  <dimension ref="B1:F25"/>
  <sheetViews>
    <sheetView workbookViewId="0">
      <selection activeCell="H23" sqref="H23"/>
    </sheetView>
  </sheetViews>
  <sheetFormatPr defaultRowHeight="15" x14ac:dyDescent="0.25"/>
  <cols>
    <col min="1" max="1" width="2.28515625" style="24" customWidth="1"/>
    <col min="2" max="2" width="9.140625" style="24"/>
    <col min="3" max="3" width="1.85546875" style="24" customWidth="1"/>
    <col min="4" max="4" width="40.42578125" style="24" customWidth="1"/>
    <col min="5" max="5" width="36.5703125" style="24" customWidth="1"/>
    <col min="6" max="6" width="2.140625" style="24" customWidth="1"/>
    <col min="7" max="16384" width="9.140625" style="24"/>
  </cols>
  <sheetData>
    <row r="1" spans="2:6" s="34" customFormat="1" ht="7.5" customHeight="1" x14ac:dyDescent="0.25"/>
    <row r="2" spans="2:6" s="34" customFormat="1" ht="34.5" customHeight="1" x14ac:dyDescent="0.4">
      <c r="B2" s="91" t="s">
        <v>59</v>
      </c>
      <c r="C2" s="91"/>
      <c r="D2" s="91"/>
    </row>
    <row r="3" spans="2:6" s="34" customFormat="1" ht="10.5" customHeight="1" x14ac:dyDescent="0.25"/>
    <row r="6" spans="2:6" ht="30" customHeight="1" x14ac:dyDescent="0.25">
      <c r="C6" s="92" t="s">
        <v>60</v>
      </c>
      <c r="D6" s="92"/>
      <c r="E6" s="92"/>
      <c r="F6" s="92"/>
    </row>
    <row r="7" spans="2:6" ht="9" customHeight="1" x14ac:dyDescent="0.25"/>
    <row r="8" spans="2:6" x14ac:dyDescent="0.25">
      <c r="D8" s="26" t="s">
        <v>61</v>
      </c>
      <c r="E8" s="36" cm="1">
        <f t="array" aca="1" ref="E8" ca="1">current_date</f>
        <v>46072</v>
      </c>
    </row>
    <row r="9" spans="2:6" x14ac:dyDescent="0.25">
      <c r="D9" s="26" t="s">
        <v>62</v>
      </c>
      <c r="E9" s="36">
        <f>MAX(Tracking[Date])</f>
        <v>46071</v>
      </c>
    </row>
    <row r="10" spans="2:6" x14ac:dyDescent="0.25">
      <c r="D10" s="26" t="s">
        <v>63</v>
      </c>
      <c r="E10" s="24" t="str">
        <f ca="1">IF(E9=0,"","(" &amp; _xlfn.DAYS(E8,E9) &amp; " days ago)")</f>
        <v>(1 days ago)</v>
      </c>
    </row>
    <row r="11" spans="2:6" x14ac:dyDescent="0.25">
      <c r="D11" s="26" t="s">
        <v>64</v>
      </c>
      <c r="E11" s="24" t="str" cm="1">
        <f t="array" aca="1" ref="E11" ca="1">"(" &amp; SUMPRODUCT(--(YEAR(Tracking[Date])=YEAR(current_date))) &amp; " this year)"</f>
        <v>(120 this year)</v>
      </c>
    </row>
    <row r="12" spans="2:6" x14ac:dyDescent="0.25">
      <c r="D12" s="26" t="s">
        <v>120</v>
      </c>
      <c r="E12" s="35">
        <f>INDEX(Tracking[Balance],MATCH(E9,Tracking[Date],0))</f>
        <v>2513.36</v>
      </c>
    </row>
    <row r="13" spans="2:6" x14ac:dyDescent="0.25">
      <c r="D13" s="26" t="s">
        <v>118</v>
      </c>
      <c r="E13" s="35" cm="1">
        <f t="array" ref="E13">SUM(Tracking[Amount]*(Tracking[Category]="401k"))</f>
        <v>1401.09</v>
      </c>
    </row>
    <row r="14" spans="2:6" x14ac:dyDescent="0.25">
      <c r="D14" s="26" t="s">
        <v>119</v>
      </c>
      <c r="E14" s="35" cm="1">
        <f t="array" ref="E14">SUM(Tracking[Amount]*(Tracking[Category]="Roth IRA"))</f>
        <v>680</v>
      </c>
    </row>
    <row r="15" spans="2:6" x14ac:dyDescent="0.25">
      <c r="D15" s="26" t="s">
        <v>132</v>
      </c>
      <c r="E15" s="35" cm="1">
        <f t="array" ref="E15">SUM(Tracking[Amount]*(Tracking[Category]="Emergency Fund"))</f>
        <v>0</v>
      </c>
    </row>
    <row r="16" spans="2:6" x14ac:dyDescent="0.25">
      <c r="D16" s="26" t="s">
        <v>65</v>
      </c>
      <c r="E16" s="24" t="str">
        <f>IF(E12&gt;=0,"of tracked income left to be allocated", "allocated not covered by income")</f>
        <v>of tracked income left to be allocated</v>
      </c>
    </row>
    <row r="18" spans="3:6" ht="33.75" customHeight="1" x14ac:dyDescent="0.25">
      <c r="C18" s="92" t="s">
        <v>66</v>
      </c>
      <c r="D18" s="92"/>
      <c r="E18" s="92"/>
      <c r="F18" s="92"/>
    </row>
    <row r="20" spans="3:6" x14ac:dyDescent="0.25">
      <c r="D20" s="26" t="s">
        <v>67</v>
      </c>
      <c r="E20" s="52" cm="1">
        <f t="array" aca="1" ref="E20" ca="1">IF('Budget Dashboard'!AQ6="Current Year",YEAR(current_date),'Budget Dashboard'!AQ6)</f>
        <v>2026</v>
      </c>
    </row>
    <row r="21" spans="3:6" x14ac:dyDescent="0.25">
      <c r="D21" s="26" t="s">
        <v>68</v>
      </c>
      <c r="E21" s="24" cm="1">
        <f t="array" ref="E21">IF('Budget Dashboard'!AQ9="Total Year","Total Year",IF('Budget Dashboard'!AQ9="Current Month",MONTH(current_date),MONTH('Budget Dashboard'!AQ9)))</f>
        <v>2</v>
      </c>
    </row>
    <row r="22" spans="3:6" x14ac:dyDescent="0.25">
      <c r="D22" s="26" t="s">
        <v>69</v>
      </c>
      <c r="E22" s="53" t="str" cm="1">
        <f t="array" ref="E22">IF(selected_period="Total Year","Total Year",TEXT(DATE(2000,selected_period,1),"mmmm"))</f>
        <v>February</v>
      </c>
    </row>
    <row r="23" spans="3:6" x14ac:dyDescent="0.25">
      <c r="D23" s="26"/>
    </row>
    <row r="24" spans="3:6" x14ac:dyDescent="0.25">
      <c r="D24" s="26"/>
      <c r="E24" s="35"/>
    </row>
    <row r="25" spans="3:6" x14ac:dyDescent="0.25">
      <c r="D25" s="26"/>
    </row>
  </sheetData>
  <mergeCells count="3">
    <mergeCell ref="B2:D2"/>
    <mergeCell ref="C6:F6"/>
    <mergeCell ref="C18:F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5F2EB-271E-4993-994B-238BB1247859}">
  <dimension ref="C4:H20"/>
  <sheetViews>
    <sheetView workbookViewId="0">
      <selection activeCell="B6" sqref="B6"/>
    </sheetView>
  </sheetViews>
  <sheetFormatPr defaultRowHeight="15" x14ac:dyDescent="0.25"/>
  <cols>
    <col min="3" max="3" width="4.140625" customWidth="1"/>
    <col min="4" max="4" width="28.140625" customWidth="1"/>
    <col min="5" max="5" width="21.7109375" customWidth="1"/>
    <col min="6" max="6" width="3.140625" customWidth="1"/>
    <col min="7" max="7" width="70.28515625" customWidth="1"/>
    <col min="8" max="8" width="4.140625" customWidth="1"/>
  </cols>
  <sheetData>
    <row r="4" spans="3:8" x14ac:dyDescent="0.25">
      <c r="C4" s="83" t="s">
        <v>70</v>
      </c>
      <c r="D4" s="83"/>
      <c r="E4" s="83"/>
      <c r="F4" s="83"/>
      <c r="G4" s="83"/>
      <c r="H4" s="83"/>
    </row>
    <row r="5" spans="3:8" x14ac:dyDescent="0.25">
      <c r="C5" s="23"/>
      <c r="D5" s="24"/>
      <c r="E5" s="24"/>
      <c r="F5" s="24"/>
      <c r="G5" s="24"/>
      <c r="H5" s="25"/>
    </row>
    <row r="6" spans="3:8" x14ac:dyDescent="0.25">
      <c r="C6" s="23"/>
      <c r="D6" s="26" t="s">
        <v>71</v>
      </c>
      <c r="E6" s="31">
        <v>2025</v>
      </c>
      <c r="F6" s="24"/>
      <c r="G6" s="27" t="s">
        <v>72</v>
      </c>
      <c r="H6" s="25"/>
    </row>
    <row r="7" spans="3:8" x14ac:dyDescent="0.25">
      <c r="C7" s="28"/>
      <c r="D7" s="29"/>
      <c r="E7" s="29"/>
      <c r="F7" s="29"/>
      <c r="G7" s="29"/>
      <c r="H7" s="30"/>
    </row>
    <row r="9" spans="3:8" x14ac:dyDescent="0.25">
      <c r="C9" s="83" t="s">
        <v>70</v>
      </c>
      <c r="D9" s="83"/>
      <c r="E9" s="83"/>
      <c r="F9" s="83"/>
      <c r="G9" s="83"/>
      <c r="H9" s="83"/>
    </row>
    <row r="10" spans="3:8" x14ac:dyDescent="0.25">
      <c r="C10" s="23"/>
      <c r="D10" s="24"/>
      <c r="E10" s="24"/>
      <c r="F10" s="24"/>
      <c r="G10" s="24"/>
      <c r="H10" s="25"/>
    </row>
    <row r="11" spans="3:8" x14ac:dyDescent="0.25">
      <c r="C11" s="23"/>
      <c r="D11" s="32" t="s">
        <v>73</v>
      </c>
      <c r="E11" s="24"/>
      <c r="F11" s="24"/>
      <c r="G11" s="24"/>
      <c r="H11" s="25"/>
    </row>
    <row r="12" spans="3:8" x14ac:dyDescent="0.25">
      <c r="C12" s="23"/>
      <c r="D12" s="24"/>
      <c r="E12" s="24"/>
      <c r="F12" s="24"/>
      <c r="G12" s="24"/>
      <c r="H12" s="25"/>
    </row>
    <row r="13" spans="3:8" x14ac:dyDescent="0.25">
      <c r="C13" s="23"/>
      <c r="D13" s="26" t="s">
        <v>74</v>
      </c>
      <c r="E13" s="31" t="s">
        <v>90</v>
      </c>
      <c r="F13" s="24"/>
      <c r="G13" s="93" t="s">
        <v>75</v>
      </c>
      <c r="H13" s="25"/>
    </row>
    <row r="14" spans="3:8" ht="8.25" customHeight="1" x14ac:dyDescent="0.25">
      <c r="C14" s="23"/>
      <c r="D14" s="24"/>
      <c r="E14" s="24"/>
      <c r="F14" s="24"/>
      <c r="G14" s="93"/>
      <c r="H14" s="25"/>
    </row>
    <row r="15" spans="3:8" ht="16.5" customHeight="1" x14ac:dyDescent="0.25">
      <c r="C15" s="23"/>
      <c r="D15" s="26" t="s">
        <v>76</v>
      </c>
      <c r="E15" s="33">
        <v>25</v>
      </c>
      <c r="F15" s="24"/>
      <c r="G15" s="93"/>
      <c r="H15" s="25"/>
    </row>
    <row r="16" spans="3:8" x14ac:dyDescent="0.25">
      <c r="C16" s="23"/>
      <c r="D16" s="24"/>
      <c r="E16" s="24"/>
      <c r="F16" s="24"/>
      <c r="G16" s="24"/>
      <c r="H16" s="25"/>
    </row>
    <row r="17" spans="3:8" x14ac:dyDescent="0.25">
      <c r="C17" s="23"/>
      <c r="D17" s="24"/>
      <c r="E17" s="24"/>
      <c r="F17" s="24"/>
      <c r="G17" s="24"/>
      <c r="H17" s="25"/>
    </row>
    <row r="18" spans="3:8" x14ac:dyDescent="0.25">
      <c r="C18" s="23"/>
      <c r="D18" s="24"/>
      <c r="E18" s="24"/>
      <c r="F18" s="24"/>
      <c r="G18" s="24"/>
      <c r="H18" s="25"/>
    </row>
    <row r="19" spans="3:8" x14ac:dyDescent="0.25">
      <c r="C19" s="23"/>
      <c r="D19" s="24"/>
      <c r="E19" s="24"/>
      <c r="F19" s="24"/>
      <c r="G19" s="24"/>
      <c r="H19" s="25"/>
    </row>
    <row r="20" spans="3:8" x14ac:dyDescent="0.25">
      <c r="C20" s="28"/>
      <c r="D20" s="29"/>
      <c r="E20" s="29"/>
      <c r="F20" s="29"/>
      <c r="G20" s="29"/>
      <c r="H20" s="30"/>
    </row>
  </sheetData>
  <mergeCells count="3">
    <mergeCell ref="C4:H4"/>
    <mergeCell ref="C9:H9"/>
    <mergeCell ref="G13:G15"/>
  </mergeCells>
  <conditionalFormatting sqref="E15">
    <cfRule type="expression" dxfId="0" priority="1">
      <formula>$E$13="Inactive"</formula>
    </cfRule>
  </conditionalFormatting>
  <dataValidations count="1">
    <dataValidation type="list" allowBlank="1" showInputMessage="1" showErrorMessage="1" sqref="E13" xr:uid="{456351E0-DAA4-42F1-B220-22555B912EDB}">
      <formula1>"Active, Inactive"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34</vt:i4>
      </vt:variant>
    </vt:vector>
  </HeadingPairs>
  <TitlesOfParts>
    <vt:vector size="41" baseType="lpstr">
      <vt:lpstr>Add-ons</vt:lpstr>
      <vt:lpstr>Budget Planning</vt:lpstr>
      <vt:lpstr>Budget Tracking</vt:lpstr>
      <vt:lpstr>Budget Dashboard</vt:lpstr>
      <vt:lpstr>Dropdown Data</vt:lpstr>
      <vt:lpstr>Calculation</vt:lpstr>
      <vt:lpstr>Settings</vt:lpstr>
      <vt:lpstr>'Budget Dashboard'!budget</vt:lpstr>
      <vt:lpstr>'Budget Dashboard'!budget_range</vt:lpstr>
      <vt:lpstr>'Budget Dashboard'!budget_rank</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Planning'!is_empty</vt:lpstr>
      <vt:lpstr>'Budget Dashboard'!is_header</vt:lpstr>
      <vt:lpstr>'Budget Planning'!is_header</vt:lpstr>
      <vt:lpstr>'Budget Dashboard'!is_total</vt:lpstr>
      <vt:lpstr>'Budget Planning'!is_total</vt:lpstr>
      <vt:lpstr>'Budget Dashboard'!item</vt:lpstr>
      <vt:lpstr>'Budget Dashboard'!out_budget</vt:lpstr>
      <vt:lpstr>'Budget Dashboard'!out_percentage_completed</vt:lpstr>
      <vt:lpstr>'Budget Dashboard'!out_tracked</vt:lpstr>
      <vt:lpstr>row_id</vt:lpstr>
      <vt:lpstr>selected_period</vt:lpstr>
      <vt:lpstr>selected_period_display</vt:lpstr>
      <vt:lpstr>selected_year</vt:lpstr>
      <vt:lpstr>shift_late_income_field</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Solomon Manamel</cp:lastModifiedBy>
  <cp:revision/>
  <dcterms:created xsi:type="dcterms:W3CDTF">2025-08-28T02:21:44Z</dcterms:created>
  <dcterms:modified xsi:type="dcterms:W3CDTF">2026-02-19T15:42:05Z</dcterms:modified>
  <cp:category/>
  <cp:contentStatus/>
</cp:coreProperties>
</file>